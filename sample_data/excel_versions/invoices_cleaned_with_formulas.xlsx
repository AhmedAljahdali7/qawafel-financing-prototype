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ACEFF27-6323-432C-9D34-555E414FCD9B}" xr6:coauthVersionLast="47" xr6:coauthVersionMax="47" xr10:uidLastSave="{00000000-0000-0000-0000-000000000000}"/>
  <bookViews>
    <workbookView xWindow="28680" yWindow="-120" windowWidth="29040" windowHeight="15720" activeTab="1" xr2:uid="{58AA1567-5AF7-4A4B-9200-C969ACA63F4C}"/>
  </bookViews>
  <sheets>
    <sheet name="Summary" sheetId="2" r:id="rId1"/>
    <sheet name="Invoices" sheetId="1" r:id="rId2"/>
  </sheets>
  <definedNames>
    <definedName name="AsOf" comment="As-of date used for Days Late (replaces TODAY())">DATE(2026,10,15)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M5" i="1" a="1"/>
  <c r="M5" i="1" s="1"/>
  <c r="M6" i="1" a="1"/>
  <c r="M6" i="1" s="1"/>
  <c r="M7" i="1" a="1"/>
  <c r="M7" i="1"/>
  <c r="M8" i="1" a="1"/>
  <c r="M8" i="1"/>
  <c r="M9" i="1" a="1"/>
  <c r="M9" i="1"/>
  <c r="M10" i="1" a="1"/>
  <c r="M10" i="1" s="1"/>
  <c r="M11" i="1" a="1"/>
  <c r="M11" i="1"/>
  <c r="M12" i="1" a="1"/>
  <c r="M12" i="1"/>
  <c r="M13" i="1" a="1"/>
  <c r="M13" i="1"/>
  <c r="M14" i="1" a="1"/>
  <c r="M14" i="1" s="1"/>
  <c r="M15" i="1" a="1"/>
  <c r="M15" i="1" s="1"/>
  <c r="M16" i="1" a="1"/>
  <c r="M16" i="1" s="1"/>
  <c r="M17" i="1" a="1"/>
  <c r="M17" i="1"/>
  <c r="M18" i="1" a="1"/>
  <c r="M18" i="1"/>
  <c r="M19" i="1" a="1"/>
  <c r="M19" i="1"/>
  <c r="M20" i="1" a="1"/>
  <c r="M20" i="1" s="1"/>
  <c r="M21" i="1" a="1"/>
  <c r="M21" i="1"/>
  <c r="M22" i="1" a="1"/>
  <c r="M22" i="1"/>
  <c r="M23" i="1" a="1"/>
  <c r="M23" i="1"/>
  <c r="M24" i="1" a="1"/>
  <c r="M24" i="1" s="1"/>
  <c r="M25" i="1" a="1"/>
  <c r="M25" i="1" s="1"/>
  <c r="M26" i="1" a="1"/>
  <c r="M26" i="1" s="1"/>
  <c r="M27" i="1" a="1"/>
  <c r="M27" i="1"/>
  <c r="M28" i="1" a="1"/>
  <c r="M28" i="1"/>
  <c r="M29" i="1" a="1"/>
  <c r="M29" i="1"/>
  <c r="M30" i="1" a="1"/>
  <c r="M30" i="1" s="1"/>
  <c r="M31" i="1" a="1"/>
  <c r="M31" i="1"/>
  <c r="M32" i="1" a="1"/>
  <c r="M32" i="1"/>
  <c r="M33" i="1" a="1"/>
  <c r="M33" i="1"/>
  <c r="M34" i="1" a="1"/>
  <c r="M34" i="1" s="1"/>
  <c r="M35" i="1" a="1"/>
  <c r="M35" i="1" s="1"/>
  <c r="M36" i="1" a="1"/>
  <c r="M36" i="1" s="1"/>
  <c r="M37" i="1" a="1"/>
  <c r="M37" i="1"/>
  <c r="M38" i="1" a="1"/>
  <c r="M38" i="1"/>
  <c r="M39" i="1" a="1"/>
  <c r="M39" i="1"/>
  <c r="M40" i="1" a="1"/>
  <c r="M40" i="1" s="1"/>
  <c r="M41" i="1" a="1"/>
  <c r="M41" i="1"/>
  <c r="M42" i="1" a="1"/>
  <c r="M42" i="1"/>
  <c r="M43" i="1" a="1"/>
  <c r="M43" i="1"/>
  <c r="M44" i="1" a="1"/>
  <c r="M44" i="1" s="1"/>
  <c r="M45" i="1" a="1"/>
  <c r="M45" i="1" s="1"/>
  <c r="M46" i="1" a="1"/>
  <c r="M46" i="1" s="1"/>
  <c r="M47" i="1" a="1"/>
  <c r="M47" i="1"/>
  <c r="M48" i="1" a="1"/>
  <c r="M48" i="1"/>
  <c r="M49" i="1" a="1"/>
  <c r="M49" i="1"/>
  <c r="M50" i="1" a="1"/>
  <c r="M50" i="1" s="1"/>
  <c r="M51" i="1" a="1"/>
  <c r="M51" i="1"/>
  <c r="M52" i="1" a="1"/>
  <c r="M52" i="1"/>
  <c r="M53" i="1" a="1"/>
  <c r="M53" i="1"/>
  <c r="M54" i="1" a="1"/>
  <c r="M54" i="1" s="1"/>
  <c r="M55" i="1" a="1"/>
  <c r="M55" i="1" s="1"/>
  <c r="M56" i="1" a="1"/>
  <c r="M56" i="1" s="1"/>
  <c r="M57" i="1" a="1"/>
  <c r="M57" i="1"/>
  <c r="M58" i="1" a="1"/>
  <c r="M58" i="1"/>
  <c r="M59" i="1" a="1"/>
  <c r="M59" i="1"/>
  <c r="M60" i="1" a="1"/>
  <c r="M60" i="1" s="1"/>
  <c r="M61" i="1" a="1"/>
  <c r="M61" i="1"/>
  <c r="M62" i="1" a="1"/>
  <c r="M62" i="1"/>
  <c r="M63" i="1" a="1"/>
  <c r="M63" i="1"/>
  <c r="M64" i="1" a="1"/>
  <c r="M64" i="1" s="1"/>
  <c r="M65" i="1" a="1"/>
  <c r="M65" i="1" s="1"/>
  <c r="M66" i="1" a="1"/>
  <c r="M66" i="1" s="1"/>
  <c r="M67" i="1" a="1"/>
  <c r="M67" i="1"/>
  <c r="M68" i="1" a="1"/>
  <c r="M68" i="1"/>
  <c r="M69" i="1" a="1"/>
  <c r="M69" i="1"/>
  <c r="M70" i="1" a="1"/>
  <c r="M70" i="1" s="1"/>
  <c r="M71" i="1" a="1"/>
  <c r="M71" i="1"/>
  <c r="M72" i="1" a="1"/>
  <c r="M72" i="1"/>
  <c r="M73" i="1" a="1"/>
  <c r="M73" i="1"/>
  <c r="M74" i="1" a="1"/>
  <c r="M74" i="1" s="1"/>
  <c r="M75" i="1" a="1"/>
  <c r="M75" i="1" s="1"/>
  <c r="M76" i="1" a="1"/>
  <c r="M76" i="1" s="1"/>
  <c r="M77" i="1" a="1"/>
  <c r="M77" i="1"/>
  <c r="M78" i="1" a="1"/>
  <c r="M78" i="1"/>
  <c r="M79" i="1" a="1"/>
  <c r="M79" i="1"/>
  <c r="M80" i="1" a="1"/>
  <c r="M80" i="1" s="1"/>
  <c r="M81" i="1" a="1"/>
  <c r="M81" i="1"/>
  <c r="M82" i="1" a="1"/>
  <c r="M82" i="1"/>
  <c r="M83" i="1" a="1"/>
  <c r="M83" i="1"/>
  <c r="M84" i="1" a="1"/>
  <c r="M84" i="1" s="1"/>
  <c r="M85" i="1" a="1"/>
  <c r="M85" i="1" s="1"/>
  <c r="M86" i="1" a="1"/>
  <c r="M86" i="1" s="1"/>
  <c r="M87" i="1" a="1"/>
  <c r="M87" i="1"/>
  <c r="M88" i="1" a="1"/>
  <c r="M88" i="1"/>
  <c r="M89" i="1" a="1"/>
  <c r="M89" i="1"/>
  <c r="M90" i="1" a="1"/>
  <c r="M90" i="1" s="1"/>
  <c r="M91" i="1" a="1"/>
  <c r="M91" i="1"/>
  <c r="M92" i="1" a="1"/>
  <c r="M92" i="1"/>
  <c r="M93" i="1" a="1"/>
  <c r="M93" i="1"/>
  <c r="M94" i="1" a="1"/>
  <c r="M94" i="1" s="1"/>
  <c r="M95" i="1" a="1"/>
  <c r="M95" i="1" s="1"/>
  <c r="M96" i="1" a="1"/>
  <c r="M96" i="1" s="1"/>
  <c r="M97" i="1" a="1"/>
  <c r="M97" i="1"/>
  <c r="M98" i="1" a="1"/>
  <c r="M98" i="1"/>
  <c r="M99" i="1" a="1"/>
  <c r="M99" i="1"/>
  <c r="M100" i="1" a="1"/>
  <c r="M100" i="1" s="1"/>
  <c r="M101" i="1" a="1"/>
  <c r="M101" i="1"/>
  <c r="M102" i="1" a="1"/>
  <c r="M102" i="1"/>
  <c r="M103" i="1" a="1"/>
  <c r="M103" i="1"/>
  <c r="M104" i="1" a="1"/>
  <c r="M104" i="1" s="1"/>
  <c r="M105" i="1" a="1"/>
  <c r="M105" i="1" s="1"/>
  <c r="M106" i="1" a="1"/>
  <c r="M106" i="1" s="1"/>
  <c r="M107" i="1" a="1"/>
  <c r="M107" i="1"/>
  <c r="M108" i="1" a="1"/>
  <c r="M108" i="1"/>
  <c r="M109" i="1" a="1"/>
  <c r="M109" i="1"/>
  <c r="M110" i="1" a="1"/>
  <c r="M110" i="1" s="1"/>
  <c r="M111" i="1" a="1"/>
  <c r="M111" i="1"/>
  <c r="M112" i="1" a="1"/>
  <c r="M112" i="1"/>
  <c r="M113" i="1" a="1"/>
  <c r="M113" i="1"/>
  <c r="M114" i="1" a="1"/>
  <c r="M114" i="1" s="1"/>
  <c r="M115" i="1" a="1"/>
  <c r="M115" i="1" s="1"/>
  <c r="M116" i="1" a="1"/>
  <c r="M116" i="1" s="1"/>
  <c r="M117" i="1" a="1"/>
  <c r="M117" i="1"/>
  <c r="M118" i="1" a="1"/>
  <c r="M118" i="1"/>
  <c r="M119" i="1" a="1"/>
  <c r="M119" i="1"/>
  <c r="M120" i="1" a="1"/>
  <c r="M120" i="1" s="1"/>
  <c r="M121" i="1" a="1"/>
  <c r="M121" i="1"/>
  <c r="M122" i="1" a="1"/>
  <c r="M122" i="1"/>
  <c r="M123" i="1" a="1"/>
  <c r="M123" i="1"/>
  <c r="M124" i="1" a="1"/>
  <c r="M124" i="1" s="1"/>
  <c r="M125" i="1" a="1"/>
  <c r="M125" i="1" s="1"/>
  <c r="M126" i="1" a="1"/>
  <c r="M126" i="1" s="1"/>
  <c r="M127" i="1" a="1"/>
  <c r="M127" i="1"/>
  <c r="M128" i="1" a="1"/>
  <c r="M128" i="1"/>
  <c r="M129" i="1" a="1"/>
  <c r="M129" i="1"/>
  <c r="M130" i="1" a="1"/>
  <c r="M130" i="1" s="1"/>
  <c r="M131" i="1" a="1"/>
  <c r="M131" i="1"/>
  <c r="M132" i="1" a="1"/>
  <c r="M132" i="1"/>
  <c r="M133" i="1" a="1"/>
  <c r="M133" i="1"/>
  <c r="M134" i="1" a="1"/>
  <c r="M134" i="1" s="1"/>
  <c r="M135" i="1" a="1"/>
  <c r="M135" i="1" s="1"/>
  <c r="M136" i="1" a="1"/>
  <c r="M136" i="1" s="1"/>
  <c r="M137" i="1" a="1"/>
  <c r="M137" i="1"/>
  <c r="M138" i="1" a="1"/>
  <c r="M138" i="1"/>
  <c r="M139" i="1" a="1"/>
  <c r="M139" i="1"/>
  <c r="M140" i="1" a="1"/>
  <c r="M140" i="1" s="1"/>
  <c r="M141" i="1" a="1"/>
  <c r="M141" i="1"/>
  <c r="M142" i="1" a="1"/>
  <c r="M142" i="1"/>
  <c r="M143" i="1" a="1"/>
  <c r="M143" i="1"/>
  <c r="M144" i="1" a="1"/>
  <c r="M144" i="1" s="1"/>
  <c r="M145" i="1" a="1"/>
  <c r="M145" i="1" s="1"/>
  <c r="M146" i="1" a="1"/>
  <c r="M146" i="1" s="1"/>
  <c r="M147" i="1" a="1"/>
  <c r="M147" i="1"/>
  <c r="M148" i="1" a="1"/>
  <c r="M148" i="1"/>
  <c r="M149" i="1" a="1"/>
  <c r="M149" i="1"/>
  <c r="M150" i="1" a="1"/>
  <c r="M150" i="1" s="1"/>
  <c r="M151" i="1" a="1"/>
  <c r="M151" i="1"/>
  <c r="M152" i="1" a="1"/>
  <c r="M152" i="1"/>
  <c r="M153" i="1" a="1"/>
  <c r="M153" i="1"/>
  <c r="M154" i="1" a="1"/>
  <c r="M154" i="1" s="1"/>
  <c r="M155" i="1" a="1"/>
  <c r="M155" i="1" s="1"/>
  <c r="M156" i="1" a="1"/>
  <c r="M156" i="1" s="1"/>
  <c r="M157" i="1" a="1"/>
  <c r="M157" i="1"/>
  <c r="M158" i="1" a="1"/>
  <c r="M158" i="1"/>
  <c r="M159" i="1" a="1"/>
  <c r="M159" i="1"/>
  <c r="M160" i="1" a="1"/>
  <c r="M160" i="1" s="1"/>
  <c r="M161" i="1" a="1"/>
  <c r="M161" i="1"/>
  <c r="M162" i="1" a="1"/>
  <c r="M162" i="1"/>
  <c r="M163" i="1" a="1"/>
  <c r="M163" i="1"/>
  <c r="M164" i="1" a="1"/>
  <c r="M164" i="1" s="1"/>
  <c r="M165" i="1" a="1"/>
  <c r="M165" i="1" s="1"/>
  <c r="M166" i="1" a="1"/>
  <c r="M166" i="1" s="1"/>
  <c r="M167" i="1" a="1"/>
  <c r="M167" i="1"/>
  <c r="M168" i="1" a="1"/>
  <c r="M168" i="1"/>
  <c r="M169" i="1" a="1"/>
  <c r="M169" i="1"/>
  <c r="M170" i="1" a="1"/>
  <c r="M170" i="1" s="1"/>
  <c r="M171" i="1" a="1"/>
  <c r="M171" i="1"/>
  <c r="M172" i="1" a="1"/>
  <c r="M172" i="1"/>
  <c r="M173" i="1" a="1"/>
  <c r="M173" i="1"/>
  <c r="M174" i="1" a="1"/>
  <c r="M174" i="1" s="1"/>
  <c r="M175" i="1" a="1"/>
  <c r="M175" i="1" s="1"/>
  <c r="M176" i="1" a="1"/>
  <c r="M176" i="1" s="1"/>
  <c r="M177" i="1" a="1"/>
  <c r="M177" i="1"/>
  <c r="M178" i="1" a="1"/>
  <c r="M178" i="1"/>
  <c r="M179" i="1" a="1"/>
  <c r="M179" i="1"/>
  <c r="M180" i="1" a="1"/>
  <c r="M180" i="1" s="1"/>
  <c r="M181" i="1" a="1"/>
  <c r="M181" i="1"/>
  <c r="M182" i="1" a="1"/>
  <c r="M182" i="1"/>
  <c r="M183" i="1" a="1"/>
  <c r="M183" i="1"/>
  <c r="M184" i="1" a="1"/>
  <c r="M184" i="1" s="1"/>
  <c r="M185" i="1" a="1"/>
  <c r="M185" i="1" s="1"/>
  <c r="M186" i="1" a="1"/>
  <c r="M186" i="1" s="1"/>
  <c r="M187" i="1" a="1"/>
  <c r="M187" i="1"/>
  <c r="M188" i="1" a="1"/>
  <c r="M188" i="1"/>
  <c r="M189" i="1" a="1"/>
  <c r="M189" i="1"/>
  <c r="M190" i="1" a="1"/>
  <c r="M190" i="1" s="1"/>
  <c r="M191" i="1" a="1"/>
  <c r="M191" i="1"/>
  <c r="M192" i="1" a="1"/>
  <c r="M192" i="1"/>
  <c r="M193" i="1" a="1"/>
  <c r="M193" i="1"/>
  <c r="M194" i="1" a="1"/>
  <c r="M194" i="1" s="1"/>
  <c r="M195" i="1" a="1"/>
  <c r="M195" i="1" s="1"/>
  <c r="M196" i="1" a="1"/>
  <c r="M196" i="1" s="1"/>
  <c r="M197" i="1" a="1"/>
  <c r="M197" i="1"/>
  <c r="M198" i="1" a="1"/>
  <c r="M198" i="1"/>
  <c r="M199" i="1" a="1"/>
  <c r="M199" i="1"/>
  <c r="M200" i="1" a="1"/>
  <c r="M200" i="1" s="1"/>
  <c r="M201" i="1" a="1"/>
  <c r="M201" i="1"/>
  <c r="M202" i="1" a="1"/>
  <c r="M202" i="1"/>
  <c r="M203" i="1" a="1"/>
  <c r="M203" i="1"/>
  <c r="M204" i="1" a="1"/>
  <c r="M204" i="1" s="1"/>
  <c r="M205" i="1" a="1"/>
  <c r="M205" i="1" s="1"/>
  <c r="M206" i="1" a="1"/>
  <c r="M206" i="1" s="1"/>
  <c r="M207" i="1" a="1"/>
  <c r="M207" i="1"/>
  <c r="M208" i="1" a="1"/>
  <c r="M208" i="1"/>
  <c r="M209" i="1" a="1"/>
  <c r="M209" i="1"/>
  <c r="M210" i="1" a="1"/>
  <c r="M210" i="1" s="1"/>
  <c r="M211" i="1" a="1"/>
  <c r="M211" i="1"/>
  <c r="M212" i="1" a="1"/>
  <c r="M212" i="1"/>
  <c r="M213" i="1" a="1"/>
  <c r="M213" i="1"/>
  <c r="M214" i="1" a="1"/>
  <c r="M214" i="1" s="1"/>
  <c r="M215" i="1" a="1"/>
  <c r="M215" i="1" s="1"/>
  <c r="M216" i="1" a="1"/>
  <c r="M216" i="1" s="1"/>
  <c r="M217" i="1" a="1"/>
  <c r="M217" i="1"/>
  <c r="M218" i="1" a="1"/>
  <c r="M218" i="1"/>
  <c r="M219" i="1" a="1"/>
  <c r="M219" i="1"/>
  <c r="M220" i="1" a="1"/>
  <c r="M220" i="1" s="1"/>
  <c r="M221" i="1" a="1"/>
  <c r="M221" i="1"/>
  <c r="M222" i="1" a="1"/>
  <c r="M222" i="1"/>
  <c r="M223" i="1" a="1"/>
  <c r="M223" i="1"/>
  <c r="M224" i="1" a="1"/>
  <c r="M224" i="1" s="1"/>
  <c r="M225" i="1" a="1"/>
  <c r="M225" i="1" s="1"/>
  <c r="M226" i="1" a="1"/>
  <c r="M226" i="1" s="1"/>
  <c r="M227" i="1" a="1"/>
  <c r="M227" i="1"/>
  <c r="M228" i="1" a="1"/>
  <c r="M228" i="1"/>
  <c r="M229" i="1" a="1"/>
  <c r="M229" i="1"/>
  <c r="M230" i="1" a="1"/>
  <c r="M230" i="1" s="1"/>
  <c r="M231" i="1" a="1"/>
  <c r="M231" i="1"/>
  <c r="M232" i="1" a="1"/>
  <c r="M232" i="1"/>
  <c r="M233" i="1" a="1"/>
  <c r="M233" i="1"/>
  <c r="M234" i="1" a="1"/>
  <c r="M234" i="1" s="1"/>
  <c r="M235" i="1" a="1"/>
  <c r="M235" i="1" s="1"/>
  <c r="M236" i="1" a="1"/>
  <c r="M236" i="1" s="1"/>
  <c r="M237" i="1" a="1"/>
  <c r="M237" i="1"/>
  <c r="M238" i="1" a="1"/>
  <c r="M238" i="1"/>
  <c r="M239" i="1" a="1"/>
  <c r="M239" i="1"/>
  <c r="M240" i="1" a="1"/>
  <c r="M240" i="1" s="1"/>
  <c r="M241" i="1" a="1"/>
  <c r="M241" i="1"/>
  <c r="M242" i="1" a="1"/>
  <c r="M242" i="1"/>
  <c r="M243" i="1" a="1"/>
  <c r="M243" i="1"/>
  <c r="M244" i="1" a="1"/>
  <c r="M244" i="1" s="1"/>
  <c r="M245" i="1" a="1"/>
  <c r="M245" i="1" s="1"/>
  <c r="M246" i="1" a="1"/>
  <c r="M246" i="1" s="1"/>
  <c r="M247" i="1" a="1"/>
  <c r="M247" i="1"/>
  <c r="M248" i="1" a="1"/>
  <c r="M248" i="1"/>
  <c r="M249" i="1" a="1"/>
  <c r="M249" i="1"/>
  <c r="M250" i="1" a="1"/>
  <c r="M250" i="1" s="1"/>
  <c r="M251" i="1" a="1"/>
  <c r="M251" i="1"/>
  <c r="M252" i="1" a="1"/>
  <c r="M252" i="1"/>
  <c r="M253" i="1" a="1"/>
  <c r="M253" i="1"/>
  <c r="M254" i="1" a="1"/>
  <c r="M254" i="1" s="1"/>
  <c r="M255" i="1" a="1"/>
  <c r="M255" i="1" s="1"/>
  <c r="M256" i="1" a="1"/>
  <c r="M256" i="1" s="1"/>
  <c r="M257" i="1" a="1"/>
  <c r="M257" i="1"/>
  <c r="M258" i="1" a="1"/>
  <c r="M258" i="1"/>
  <c r="M259" i="1" a="1"/>
  <c r="M259" i="1"/>
  <c r="M260" i="1" a="1"/>
  <c r="M260" i="1" s="1"/>
  <c r="M261" i="1" a="1"/>
  <c r="M261" i="1"/>
  <c r="M262" i="1" a="1"/>
  <c r="M262" i="1"/>
  <c r="M263" i="1" a="1"/>
  <c r="M263" i="1"/>
  <c r="M264" i="1" a="1"/>
  <c r="M264" i="1" s="1"/>
  <c r="M265" i="1" a="1"/>
  <c r="M265" i="1" s="1"/>
  <c r="M266" i="1" a="1"/>
  <c r="M266" i="1" s="1"/>
  <c r="M267" i="1" a="1"/>
  <c r="M267" i="1"/>
  <c r="M268" i="1" a="1"/>
  <c r="M268" i="1"/>
  <c r="M269" i="1" a="1"/>
  <c r="M269" i="1"/>
  <c r="M270" i="1" a="1"/>
  <c r="M270" i="1" s="1"/>
  <c r="M271" i="1" a="1"/>
  <c r="M271" i="1"/>
  <c r="M272" i="1" a="1"/>
  <c r="M272" i="1"/>
  <c r="M273" i="1" a="1"/>
  <c r="M273" i="1"/>
  <c r="M274" i="1" a="1"/>
  <c r="M274" i="1" s="1"/>
  <c r="M275" i="1" a="1"/>
  <c r="M275" i="1" s="1"/>
  <c r="M276" i="1" a="1"/>
  <c r="M276" i="1" s="1"/>
  <c r="M277" i="1" a="1"/>
  <c r="M277" i="1"/>
  <c r="M278" i="1" a="1"/>
  <c r="M278" i="1"/>
  <c r="M279" i="1" a="1"/>
  <c r="M279" i="1"/>
  <c r="M280" i="1" a="1"/>
  <c r="M280" i="1" s="1"/>
  <c r="M281" i="1" a="1"/>
  <c r="M281" i="1"/>
  <c r="M282" i="1" a="1"/>
  <c r="M282" i="1"/>
  <c r="M283" i="1" a="1"/>
  <c r="M283" i="1"/>
  <c r="M284" i="1" a="1"/>
  <c r="M284" i="1" s="1"/>
  <c r="M285" i="1" a="1"/>
  <c r="M285" i="1" s="1"/>
  <c r="M286" i="1" a="1"/>
  <c r="M286" i="1" s="1"/>
  <c r="M287" i="1" a="1"/>
  <c r="M287" i="1"/>
  <c r="M288" i="1" a="1"/>
  <c r="M288" i="1"/>
  <c r="M289" i="1" a="1"/>
  <c r="M289" i="1"/>
  <c r="M290" i="1" a="1"/>
  <c r="M290" i="1" s="1"/>
  <c r="M291" i="1" a="1"/>
  <c r="M291" i="1"/>
  <c r="M292" i="1" a="1"/>
  <c r="M292" i="1"/>
  <c r="M293" i="1" a="1"/>
  <c r="M293" i="1"/>
  <c r="M294" i="1" a="1"/>
  <c r="M294" i="1" s="1"/>
  <c r="M295" i="1" a="1"/>
  <c r="M295" i="1" s="1"/>
  <c r="M296" i="1" a="1"/>
  <c r="M296" i="1" s="1"/>
  <c r="M297" i="1" a="1"/>
  <c r="M297" i="1"/>
  <c r="M298" i="1" a="1"/>
  <c r="M298" i="1"/>
  <c r="M299" i="1" a="1"/>
  <c r="M299" i="1"/>
  <c r="M300" i="1" a="1"/>
  <c r="M300" i="1" s="1"/>
  <c r="M301" i="1" a="1"/>
  <c r="M301" i="1"/>
  <c r="M302" i="1" a="1"/>
  <c r="M302" i="1"/>
  <c r="M303" i="1" a="1"/>
  <c r="M303" i="1"/>
  <c r="M304" i="1" a="1"/>
  <c r="M304" i="1" s="1"/>
  <c r="M305" i="1" a="1"/>
  <c r="M305" i="1" s="1"/>
  <c r="M306" i="1" a="1"/>
  <c r="M306" i="1" s="1"/>
  <c r="M307" i="1" a="1"/>
  <c r="M307" i="1"/>
  <c r="M308" i="1" a="1"/>
  <c r="M308" i="1"/>
  <c r="M309" i="1" a="1"/>
  <c r="M309" i="1"/>
  <c r="M310" i="1" a="1"/>
  <c r="M310" i="1" s="1"/>
  <c r="M311" i="1" a="1"/>
  <c r="M311" i="1"/>
  <c r="M312" i="1" a="1"/>
  <c r="M312" i="1"/>
  <c r="M313" i="1" a="1"/>
  <c r="M313" i="1"/>
  <c r="M314" i="1" a="1"/>
  <c r="M314" i="1" s="1"/>
  <c r="M315" i="1" a="1"/>
  <c r="M315" i="1" s="1"/>
  <c r="M316" i="1" a="1"/>
  <c r="M316" i="1" s="1"/>
  <c r="M317" i="1" a="1"/>
  <c r="M317" i="1"/>
  <c r="M318" i="1" a="1"/>
  <c r="M318" i="1"/>
  <c r="M319" i="1" a="1"/>
  <c r="M319" i="1"/>
  <c r="M320" i="1" a="1"/>
  <c r="M320" i="1" s="1"/>
  <c r="M321" i="1" a="1"/>
  <c r="M321" i="1"/>
  <c r="M322" i="1" a="1"/>
  <c r="M322" i="1"/>
  <c r="M323" i="1" a="1"/>
  <c r="M323" i="1"/>
  <c r="M324" i="1" a="1"/>
  <c r="M324" i="1" s="1"/>
  <c r="M325" i="1" a="1"/>
  <c r="M325" i="1" s="1"/>
  <c r="M326" i="1" a="1"/>
  <c r="M326" i="1" s="1"/>
  <c r="M327" i="1" a="1"/>
  <c r="M327" i="1"/>
  <c r="M328" i="1" a="1"/>
  <c r="M328" i="1"/>
  <c r="M329" i="1" a="1"/>
  <c r="M329" i="1"/>
  <c r="M330" i="1" a="1"/>
  <c r="M330" i="1" s="1"/>
  <c r="M331" i="1" a="1"/>
  <c r="M331" i="1"/>
  <c r="M332" i="1" a="1"/>
  <c r="M332" i="1"/>
  <c r="M333" i="1" a="1"/>
  <c r="M333" i="1"/>
  <c r="M334" i="1" a="1"/>
  <c r="M334" i="1" s="1"/>
  <c r="M335" i="1" a="1"/>
  <c r="M335" i="1" s="1"/>
  <c r="M336" i="1" a="1"/>
  <c r="M336" i="1" s="1"/>
  <c r="M337" i="1" a="1"/>
  <c r="M337" i="1"/>
  <c r="M338" i="1" a="1"/>
  <c r="M338" i="1"/>
  <c r="M339" i="1" a="1"/>
  <c r="M339" i="1"/>
  <c r="M340" i="1" a="1"/>
  <c r="M340" i="1" s="1"/>
  <c r="M341" i="1" a="1"/>
  <c r="M341" i="1"/>
  <c r="M342" i="1" a="1"/>
  <c r="M342" i="1"/>
  <c r="M343" i="1" a="1"/>
  <c r="M343" i="1"/>
  <c r="M344" i="1" a="1"/>
  <c r="M344" i="1" s="1"/>
  <c r="M345" i="1" a="1"/>
  <c r="M345" i="1" s="1"/>
  <c r="M346" i="1" a="1"/>
  <c r="M346" i="1" s="1"/>
  <c r="M347" i="1" a="1"/>
  <c r="M347" i="1"/>
  <c r="M348" i="1" a="1"/>
  <c r="M348" i="1"/>
  <c r="M349" i="1" a="1"/>
  <c r="M349" i="1"/>
  <c r="M350" i="1" a="1"/>
  <c r="M350" i="1" s="1"/>
  <c r="M351" i="1" a="1"/>
  <c r="M351" i="1"/>
  <c r="M352" i="1" a="1"/>
  <c r="M352" i="1"/>
  <c r="M353" i="1" a="1"/>
  <c r="M353" i="1"/>
  <c r="M354" i="1" a="1"/>
  <c r="M354" i="1" s="1"/>
  <c r="M355" i="1" a="1"/>
  <c r="M355" i="1" s="1"/>
  <c r="M356" i="1" a="1"/>
  <c r="M356" i="1" s="1"/>
  <c r="M357" i="1" a="1"/>
  <c r="M357" i="1"/>
  <c r="M358" i="1" a="1"/>
  <c r="M358" i="1"/>
  <c r="M359" i="1" a="1"/>
  <c r="M359" i="1"/>
  <c r="M360" i="1" a="1"/>
  <c r="M360" i="1" s="1"/>
  <c r="M361" i="1" a="1"/>
  <c r="M361" i="1"/>
  <c r="M362" i="1" a="1"/>
  <c r="M362" i="1"/>
  <c r="M363" i="1" a="1"/>
  <c r="M363" i="1"/>
  <c r="M364" i="1" a="1"/>
  <c r="M364" i="1" s="1"/>
  <c r="M365" i="1" a="1"/>
  <c r="M365" i="1" s="1"/>
  <c r="M366" i="1" a="1"/>
  <c r="M366" i="1" s="1"/>
  <c r="M367" i="1" a="1"/>
  <c r="M367" i="1"/>
  <c r="M368" i="1" a="1"/>
  <c r="M368" i="1"/>
  <c r="M369" i="1" a="1"/>
  <c r="M369" i="1"/>
  <c r="M370" i="1" a="1"/>
  <c r="M370" i="1" s="1"/>
  <c r="M371" i="1" a="1"/>
  <c r="M371" i="1"/>
  <c r="M372" i="1" a="1"/>
  <c r="M372" i="1"/>
  <c r="M373" i="1" a="1"/>
  <c r="M373" i="1"/>
  <c r="M374" i="1" a="1"/>
  <c r="M374" i="1" s="1"/>
  <c r="M375" i="1" a="1"/>
  <c r="M375" i="1" s="1"/>
  <c r="M376" i="1" a="1"/>
  <c r="M376" i="1" s="1"/>
  <c r="M377" i="1" a="1"/>
  <c r="M377" i="1"/>
  <c r="M378" i="1" a="1"/>
  <c r="M378" i="1"/>
  <c r="M379" i="1" a="1"/>
  <c r="M379" i="1"/>
  <c r="M380" i="1" a="1"/>
  <c r="M380" i="1" s="1"/>
  <c r="M381" i="1" a="1"/>
  <c r="M381" i="1"/>
  <c r="M382" i="1" a="1"/>
  <c r="M382" i="1"/>
  <c r="M383" i="1" a="1"/>
  <c r="M383" i="1"/>
  <c r="M384" i="1" a="1"/>
  <c r="M384" i="1" s="1"/>
  <c r="M385" i="1" a="1"/>
  <c r="M385" i="1" s="1"/>
  <c r="M386" i="1" a="1"/>
  <c r="M386" i="1" s="1"/>
  <c r="M387" i="1" a="1"/>
  <c r="M387" i="1"/>
  <c r="M388" i="1" a="1"/>
  <c r="M388" i="1"/>
  <c r="M389" i="1" a="1"/>
  <c r="M389" i="1"/>
  <c r="M390" i="1" a="1"/>
  <c r="M390" i="1" s="1"/>
  <c r="M391" i="1" a="1"/>
  <c r="M391" i="1"/>
  <c r="M392" i="1" a="1"/>
  <c r="M392" i="1"/>
  <c r="M393" i="1" a="1"/>
  <c r="M393" i="1"/>
  <c r="M394" i="1" a="1"/>
  <c r="M394" i="1" s="1"/>
  <c r="M395" i="1" a="1"/>
  <c r="M395" i="1" s="1"/>
  <c r="M396" i="1" a="1"/>
  <c r="M396" i="1" s="1"/>
  <c r="M397" i="1" a="1"/>
  <c r="M397" i="1"/>
  <c r="M398" i="1" a="1"/>
  <c r="M398" i="1"/>
  <c r="M399" i="1" a="1"/>
  <c r="M399" i="1"/>
  <c r="M400" i="1" a="1"/>
  <c r="M400" i="1" s="1"/>
  <c r="M401" i="1" a="1"/>
  <c r="M401" i="1"/>
  <c r="M402" i="1" a="1"/>
  <c r="M402" i="1"/>
  <c r="M403" i="1" a="1"/>
  <c r="M403" i="1"/>
  <c r="M404" i="1" a="1"/>
  <c r="M404" i="1" s="1"/>
  <c r="M405" i="1" a="1"/>
  <c r="M405" i="1" s="1"/>
  <c r="M406" i="1" a="1"/>
  <c r="M406" i="1" s="1"/>
  <c r="M407" i="1" a="1"/>
  <c r="M407" i="1"/>
  <c r="M408" i="1" a="1"/>
  <c r="M408" i="1"/>
  <c r="M409" i="1" a="1"/>
  <c r="M409" i="1"/>
  <c r="M410" i="1" a="1"/>
  <c r="M410" i="1" s="1"/>
  <c r="M411" i="1" a="1"/>
  <c r="M411" i="1"/>
  <c r="M412" i="1" a="1"/>
  <c r="M412" i="1"/>
  <c r="M413" i="1" a="1"/>
  <c r="M413" i="1"/>
  <c r="M414" i="1" a="1"/>
  <c r="M414" i="1" s="1"/>
  <c r="M415" i="1" a="1"/>
  <c r="M415" i="1" s="1"/>
  <c r="M416" i="1" a="1"/>
  <c r="M416" i="1" s="1"/>
  <c r="M417" i="1" a="1"/>
  <c r="M417" i="1"/>
  <c r="M418" i="1" a="1"/>
  <c r="M418" i="1"/>
  <c r="M419" i="1" a="1"/>
  <c r="M419" i="1"/>
  <c r="M420" i="1" a="1"/>
  <c r="M420" i="1" s="1"/>
  <c r="M421" i="1" a="1"/>
  <c r="M421" i="1"/>
  <c r="M422" i="1" a="1"/>
  <c r="M422" i="1"/>
  <c r="M423" i="1" a="1"/>
  <c r="M423" i="1"/>
  <c r="M424" i="1" a="1"/>
  <c r="M424" i="1" s="1"/>
  <c r="M425" i="1" a="1"/>
  <c r="M425" i="1" s="1"/>
  <c r="M426" i="1" a="1"/>
  <c r="M426" i="1" s="1"/>
  <c r="M427" i="1" a="1"/>
  <c r="M427" i="1"/>
  <c r="M428" i="1" a="1"/>
  <c r="M428" i="1"/>
  <c r="M429" i="1" a="1"/>
  <c r="M429" i="1"/>
  <c r="M430" i="1" a="1"/>
  <c r="M430" i="1" s="1"/>
  <c r="M431" i="1" a="1"/>
  <c r="M431" i="1"/>
  <c r="M432" i="1" a="1"/>
  <c r="M432" i="1"/>
  <c r="M433" i="1" a="1"/>
  <c r="M433" i="1"/>
  <c r="M434" i="1" a="1"/>
  <c r="M434" i="1" s="1"/>
  <c r="M435" i="1" a="1"/>
  <c r="M435" i="1" s="1"/>
  <c r="M436" i="1" a="1"/>
  <c r="M436" i="1" s="1"/>
  <c r="M437" i="1" a="1"/>
  <c r="M437" i="1"/>
  <c r="M438" i="1" a="1"/>
  <c r="M438" i="1"/>
  <c r="M439" i="1" a="1"/>
  <c r="M439" i="1"/>
  <c r="M440" i="1" a="1"/>
  <c r="M440" i="1" s="1"/>
  <c r="M441" i="1" a="1"/>
  <c r="M441" i="1"/>
  <c r="M442" i="1" a="1"/>
  <c r="M442" i="1"/>
  <c r="M443" i="1" a="1"/>
  <c r="M443" i="1"/>
  <c r="M444" i="1" a="1"/>
  <c r="M444" i="1" s="1"/>
  <c r="M445" i="1" a="1"/>
  <c r="M445" i="1" s="1"/>
  <c r="M446" i="1" a="1"/>
  <c r="M446" i="1" s="1"/>
  <c r="M447" i="1" a="1"/>
  <c r="M447" i="1"/>
  <c r="M448" i="1" a="1"/>
  <c r="M448" i="1"/>
  <c r="M449" i="1" a="1"/>
  <c r="M449" i="1"/>
  <c r="M450" i="1" a="1"/>
  <c r="M450" i="1" s="1"/>
  <c r="M451" i="1" a="1"/>
  <c r="M451" i="1"/>
  <c r="M452" i="1" a="1"/>
  <c r="M452" i="1"/>
  <c r="M453" i="1" a="1"/>
  <c r="M453" i="1"/>
  <c r="M454" i="1" a="1"/>
  <c r="M454" i="1" s="1"/>
  <c r="M455" i="1" a="1"/>
  <c r="M455" i="1" s="1"/>
  <c r="M456" i="1" a="1"/>
  <c r="M456" i="1" s="1"/>
  <c r="M457" i="1" a="1"/>
  <c r="M457" i="1"/>
  <c r="M458" i="1" a="1"/>
  <c r="M458" i="1"/>
  <c r="M459" i="1" a="1"/>
  <c r="M459" i="1"/>
  <c r="M460" i="1" a="1"/>
  <c r="M460" i="1" s="1"/>
  <c r="M461" i="1" a="1"/>
  <c r="M461" i="1"/>
  <c r="M462" i="1" a="1"/>
  <c r="M462" i="1"/>
  <c r="M463" i="1" a="1"/>
  <c r="M463" i="1"/>
  <c r="M464" i="1" a="1"/>
  <c r="M464" i="1" s="1"/>
  <c r="M465" i="1" a="1"/>
  <c r="M465" i="1" s="1"/>
  <c r="M466" i="1" a="1"/>
  <c r="M466" i="1" s="1"/>
  <c r="M467" i="1" a="1"/>
  <c r="M467" i="1"/>
  <c r="M468" i="1" a="1"/>
  <c r="M468" i="1"/>
  <c r="M469" i="1" a="1"/>
  <c r="M469" i="1"/>
  <c r="M470" i="1" a="1"/>
  <c r="M470" i="1" s="1"/>
  <c r="M471" i="1" a="1"/>
  <c r="M471" i="1"/>
  <c r="M472" i="1" a="1"/>
  <c r="M472" i="1"/>
  <c r="M473" i="1" a="1"/>
  <c r="M473" i="1"/>
  <c r="M474" i="1" a="1"/>
  <c r="M474" i="1" s="1"/>
  <c r="M475" i="1" a="1"/>
  <c r="M475" i="1" s="1"/>
  <c r="M476" i="1" a="1"/>
  <c r="M476" i="1" s="1"/>
  <c r="M477" i="1" a="1"/>
  <c r="M477" i="1"/>
  <c r="M478" i="1" a="1"/>
  <c r="M478" i="1"/>
  <c r="M479" i="1" a="1"/>
  <c r="M479" i="1"/>
  <c r="M480" i="1" a="1"/>
  <c r="M480" i="1" s="1"/>
  <c r="M481" i="1" a="1"/>
  <c r="M481" i="1"/>
  <c r="M482" i="1" a="1"/>
  <c r="M482" i="1"/>
  <c r="M483" i="1" a="1"/>
  <c r="M483" i="1"/>
  <c r="M484" i="1" a="1"/>
  <c r="M484" i="1" s="1"/>
  <c r="M485" i="1" a="1"/>
  <c r="M485" i="1" s="1"/>
  <c r="M486" i="1" a="1"/>
  <c r="M486" i="1" s="1"/>
  <c r="M487" i="1" a="1"/>
  <c r="M487" i="1"/>
  <c r="M488" i="1" a="1"/>
  <c r="M488" i="1"/>
  <c r="M489" i="1" a="1"/>
  <c r="M489" i="1"/>
  <c r="M490" i="1" a="1"/>
  <c r="M490" i="1" s="1"/>
  <c r="M491" i="1" a="1"/>
  <c r="M491" i="1"/>
  <c r="M492" i="1" a="1"/>
  <c r="M492" i="1"/>
  <c r="M493" i="1" a="1"/>
  <c r="M493" i="1"/>
  <c r="M494" i="1" a="1"/>
  <c r="M494" i="1" s="1"/>
  <c r="M495" i="1" a="1"/>
  <c r="M495" i="1" s="1"/>
  <c r="M496" i="1" a="1"/>
  <c r="M496" i="1" s="1"/>
  <c r="M497" i="1" a="1"/>
  <c r="M497" i="1"/>
  <c r="M498" i="1" a="1"/>
  <c r="M498" i="1"/>
  <c r="M499" i="1" a="1"/>
  <c r="M499" i="1"/>
  <c r="M500" i="1" a="1"/>
  <c r="M500" i="1" s="1"/>
  <c r="M501" i="1" a="1"/>
  <c r="M501" i="1"/>
  <c r="M502" i="1" a="1"/>
  <c r="M502" i="1"/>
  <c r="M503" i="1" a="1"/>
  <c r="M503" i="1"/>
  <c r="M504" i="1" a="1"/>
  <c r="M504" i="1" s="1"/>
  <c r="M505" i="1" a="1"/>
  <c r="M505" i="1" s="1"/>
  <c r="M506" i="1" a="1"/>
  <c r="M506" i="1" s="1"/>
  <c r="M507" i="1" a="1"/>
  <c r="M507" i="1"/>
  <c r="M508" i="1" a="1"/>
  <c r="M508" i="1"/>
  <c r="M509" i="1" a="1"/>
  <c r="M509" i="1"/>
  <c r="M510" i="1" a="1"/>
  <c r="M510" i="1" s="1"/>
  <c r="M511" i="1" a="1"/>
  <c r="M511" i="1"/>
  <c r="M512" i="1" a="1"/>
  <c r="M512" i="1"/>
  <c r="M513" i="1" a="1"/>
  <c r="M513" i="1"/>
  <c r="M514" i="1" a="1"/>
  <c r="M514" i="1" s="1"/>
  <c r="M515" i="1" a="1"/>
  <c r="M515" i="1" s="1"/>
  <c r="M516" i="1" a="1"/>
  <c r="M516" i="1" s="1"/>
  <c r="M517" i="1" a="1"/>
  <c r="M517" i="1"/>
  <c r="M518" i="1" a="1"/>
  <c r="M518" i="1"/>
  <c r="M519" i="1" a="1"/>
  <c r="M519" i="1"/>
  <c r="M520" i="1" a="1"/>
  <c r="M520" i="1" s="1"/>
  <c r="M521" i="1" a="1"/>
  <c r="M521" i="1"/>
  <c r="M522" i="1" a="1"/>
  <c r="M522" i="1"/>
  <c r="M523" i="1" a="1"/>
  <c r="M523" i="1"/>
  <c r="M524" i="1" a="1"/>
  <c r="M524" i="1" s="1"/>
  <c r="M525" i="1" a="1"/>
  <c r="M525" i="1" s="1"/>
  <c r="M526" i="1" a="1"/>
  <c r="M526" i="1" s="1"/>
  <c r="M527" i="1" a="1"/>
  <c r="M527" i="1"/>
  <c r="M528" i="1" a="1"/>
  <c r="M528" i="1"/>
  <c r="M529" i="1" a="1"/>
  <c r="M529" i="1"/>
  <c r="M530" i="1" a="1"/>
  <c r="M530" i="1" s="1"/>
  <c r="M531" i="1" a="1"/>
  <c r="M531" i="1"/>
  <c r="M532" i="1" a="1"/>
  <c r="M532" i="1"/>
  <c r="M533" i="1" a="1"/>
  <c r="M533" i="1"/>
  <c r="M534" i="1" a="1"/>
  <c r="M534" i="1" s="1"/>
  <c r="M535" i="1" a="1"/>
  <c r="M535" i="1" s="1"/>
  <c r="M536" i="1" a="1"/>
  <c r="M536" i="1" s="1"/>
  <c r="M537" i="1" a="1"/>
  <c r="M537" i="1"/>
  <c r="M538" i="1" a="1"/>
  <c r="M538" i="1"/>
  <c r="M539" i="1" a="1"/>
  <c r="M539" i="1"/>
  <c r="M540" i="1" a="1"/>
  <c r="M540" i="1" s="1"/>
  <c r="M541" i="1" a="1"/>
  <c r="M541" i="1"/>
  <c r="M542" i="1" a="1"/>
  <c r="M542" i="1"/>
  <c r="M543" i="1" a="1"/>
  <c r="M543" i="1"/>
  <c r="M544" i="1" a="1"/>
  <c r="M544" i="1" s="1"/>
  <c r="M545" i="1" a="1"/>
  <c r="M545" i="1" s="1"/>
  <c r="M546" i="1" a="1"/>
  <c r="M546" i="1" s="1"/>
  <c r="M547" i="1" a="1"/>
  <c r="M547" i="1"/>
  <c r="M548" i="1" a="1"/>
  <c r="M548" i="1"/>
  <c r="M549" i="1" a="1"/>
  <c r="M549" i="1"/>
  <c r="M550" i="1" a="1"/>
  <c r="M550" i="1" s="1"/>
  <c r="M551" i="1" a="1"/>
  <c r="M551" i="1"/>
  <c r="M552" i="1" a="1"/>
  <c r="M552" i="1"/>
  <c r="M553" i="1" a="1"/>
  <c r="M553" i="1"/>
  <c r="M554" i="1" a="1"/>
  <c r="M554" i="1" s="1"/>
  <c r="M555" i="1" a="1"/>
  <c r="M555" i="1" s="1"/>
  <c r="M556" i="1" a="1"/>
  <c r="M556" i="1" s="1"/>
  <c r="M557" i="1" a="1"/>
  <c r="M557" i="1"/>
  <c r="M558" i="1" a="1"/>
  <c r="M558" i="1"/>
  <c r="M559" i="1" a="1"/>
  <c r="M559" i="1"/>
  <c r="M560" i="1" a="1"/>
  <c r="M560" i="1" s="1"/>
  <c r="M561" i="1" a="1"/>
  <c r="M561" i="1"/>
  <c r="M562" i="1" a="1"/>
  <c r="M562" i="1"/>
  <c r="M563" i="1" a="1"/>
  <c r="M563" i="1"/>
  <c r="M564" i="1" a="1"/>
  <c r="M564" i="1" s="1"/>
  <c r="M565" i="1" a="1"/>
  <c r="M565" i="1" s="1"/>
  <c r="M566" i="1" a="1"/>
  <c r="M566" i="1" s="1"/>
  <c r="M567" i="1" a="1"/>
  <c r="M567" i="1"/>
  <c r="M568" i="1" a="1"/>
  <c r="M568" i="1"/>
  <c r="M569" i="1" a="1"/>
  <c r="M569" i="1"/>
  <c r="M570" i="1" a="1"/>
  <c r="M570" i="1" s="1"/>
  <c r="M571" i="1" a="1"/>
  <c r="M571" i="1"/>
  <c r="M572" i="1" a="1"/>
  <c r="M572" i="1"/>
  <c r="M573" i="1" a="1"/>
  <c r="M573" i="1"/>
  <c r="M574" i="1" a="1"/>
  <c r="M574" i="1" s="1"/>
  <c r="M575" i="1" a="1"/>
  <c r="M575" i="1" s="1"/>
  <c r="M576" i="1" a="1"/>
  <c r="M576" i="1" s="1"/>
  <c r="M577" i="1" a="1"/>
  <c r="M577" i="1"/>
  <c r="M578" i="1" a="1"/>
  <c r="M578" i="1"/>
  <c r="M579" i="1" a="1"/>
  <c r="M579" i="1"/>
  <c r="M580" i="1" a="1"/>
  <c r="M580" i="1" s="1"/>
  <c r="M581" i="1" a="1"/>
  <c r="M581" i="1"/>
  <c r="M582" i="1" a="1"/>
  <c r="M582" i="1"/>
  <c r="M583" i="1" a="1"/>
  <c r="M583" i="1"/>
  <c r="M584" i="1" a="1"/>
  <c r="M584" i="1" s="1"/>
  <c r="M585" i="1" a="1"/>
  <c r="M585" i="1" s="1"/>
  <c r="M586" i="1" a="1"/>
  <c r="M586" i="1" s="1"/>
  <c r="M587" i="1" a="1"/>
  <c r="M587" i="1"/>
  <c r="M588" i="1" a="1"/>
  <c r="M588" i="1"/>
  <c r="M589" i="1" a="1"/>
  <c r="M589" i="1"/>
  <c r="M590" i="1" a="1"/>
  <c r="M590" i="1" s="1"/>
  <c r="M591" i="1" a="1"/>
  <c r="M591" i="1"/>
  <c r="M592" i="1" a="1"/>
  <c r="M592" i="1"/>
  <c r="M593" i="1" a="1"/>
  <c r="M593" i="1"/>
  <c r="M594" i="1" a="1"/>
  <c r="M594" i="1" s="1"/>
  <c r="M595" i="1" a="1"/>
  <c r="M595" i="1" s="1"/>
  <c r="M596" i="1" a="1"/>
  <c r="M596" i="1" s="1"/>
  <c r="M597" i="1" a="1"/>
  <c r="M597" i="1"/>
  <c r="M598" i="1" a="1"/>
  <c r="M598" i="1"/>
  <c r="M599" i="1" a="1"/>
  <c r="M599" i="1"/>
  <c r="M600" i="1" a="1"/>
  <c r="M600" i="1" s="1"/>
  <c r="M601" i="1" a="1"/>
  <c r="M601" i="1"/>
  <c r="M602" i="1" a="1"/>
  <c r="M602" i="1"/>
  <c r="M603" i="1" a="1"/>
  <c r="M603" i="1"/>
  <c r="M604" i="1" a="1"/>
  <c r="M604" i="1" s="1"/>
  <c r="M605" i="1" a="1"/>
  <c r="M605" i="1" s="1"/>
  <c r="M606" i="1" a="1"/>
  <c r="M606" i="1" s="1"/>
  <c r="M607" i="1" a="1"/>
  <c r="M607" i="1"/>
  <c r="M608" i="1" a="1"/>
  <c r="M608" i="1"/>
  <c r="M609" i="1" a="1"/>
  <c r="M609" i="1"/>
  <c r="M610" i="1" a="1"/>
  <c r="M610" i="1" s="1"/>
  <c r="M611" i="1" a="1"/>
  <c r="M611" i="1"/>
  <c r="M612" i="1" a="1"/>
  <c r="M612" i="1"/>
  <c r="M613" i="1" a="1"/>
  <c r="M613" i="1"/>
  <c r="M614" i="1" a="1"/>
  <c r="M614" i="1" s="1"/>
  <c r="M615" i="1" a="1"/>
  <c r="M615" i="1" s="1"/>
  <c r="M616" i="1" a="1"/>
  <c r="M616" i="1" s="1"/>
  <c r="M617" i="1" a="1"/>
  <c r="M617" i="1"/>
  <c r="M618" i="1" a="1"/>
  <c r="M618" i="1"/>
  <c r="M619" i="1" a="1"/>
  <c r="M619" i="1"/>
  <c r="M620" i="1" a="1"/>
  <c r="M620" i="1" s="1"/>
  <c r="M621" i="1" a="1"/>
  <c r="M621" i="1"/>
  <c r="M622" i="1" a="1"/>
  <c r="M622" i="1"/>
  <c r="M623" i="1" a="1"/>
  <c r="M623" i="1"/>
  <c r="M624" i="1" a="1"/>
  <c r="M624" i="1" s="1"/>
  <c r="M625" i="1" a="1"/>
  <c r="M625" i="1" s="1"/>
  <c r="M626" i="1" a="1"/>
  <c r="M626" i="1" s="1"/>
  <c r="M627" i="1" a="1"/>
  <c r="M627" i="1"/>
  <c r="M628" i="1" a="1"/>
  <c r="M628" i="1"/>
  <c r="M629" i="1" a="1"/>
  <c r="M629" i="1"/>
  <c r="M630" i="1" a="1"/>
  <c r="M630" i="1" s="1"/>
  <c r="M631" i="1" a="1"/>
  <c r="M631" i="1"/>
  <c r="M632" i="1" a="1"/>
  <c r="M632" i="1"/>
  <c r="M633" i="1" a="1"/>
  <c r="M633" i="1"/>
  <c r="M634" i="1" a="1"/>
  <c r="M634" i="1" s="1"/>
  <c r="M635" i="1" a="1"/>
  <c r="M635" i="1" s="1"/>
  <c r="M636" i="1" a="1"/>
  <c r="M636" i="1" s="1"/>
  <c r="M637" i="1" a="1"/>
  <c r="M637" i="1"/>
  <c r="M638" i="1" a="1"/>
  <c r="M638" i="1"/>
  <c r="M639" i="1" a="1"/>
  <c r="M639" i="1"/>
  <c r="M640" i="1" a="1"/>
  <c r="M640" i="1" s="1"/>
  <c r="M641" i="1" a="1"/>
  <c r="M641" i="1"/>
  <c r="M642" i="1" a="1"/>
  <c r="M642" i="1"/>
  <c r="M643" i="1" a="1"/>
  <c r="M643" i="1"/>
  <c r="M644" i="1" a="1"/>
  <c r="M644" i="1" s="1"/>
  <c r="M645" i="1" a="1"/>
  <c r="M645" i="1" s="1"/>
  <c r="M646" i="1" a="1"/>
  <c r="M646" i="1" s="1"/>
  <c r="M647" i="1" a="1"/>
  <c r="M647" i="1"/>
  <c r="M648" i="1" a="1"/>
  <c r="M648" i="1"/>
  <c r="M649" i="1" a="1"/>
  <c r="M649" i="1"/>
  <c r="M650" i="1" a="1"/>
  <c r="M650" i="1" s="1"/>
  <c r="M651" i="1" a="1"/>
  <c r="M651" i="1"/>
  <c r="M652" i="1" a="1"/>
  <c r="M652" i="1"/>
  <c r="M653" i="1" a="1"/>
  <c r="M653" i="1"/>
  <c r="M654" i="1" a="1"/>
  <c r="M654" i="1" s="1"/>
  <c r="M655" i="1" a="1"/>
  <c r="M655" i="1" s="1"/>
  <c r="M656" i="1" a="1"/>
  <c r="M656" i="1" s="1"/>
  <c r="M657" i="1" a="1"/>
  <c r="M657" i="1"/>
  <c r="M658" i="1" a="1"/>
  <c r="M658" i="1"/>
  <c r="M659" i="1" a="1"/>
  <c r="M659" i="1"/>
  <c r="M660" i="1" a="1"/>
  <c r="M660" i="1" s="1"/>
  <c r="M661" i="1" a="1"/>
  <c r="M661" i="1"/>
  <c r="M662" i="1" a="1"/>
  <c r="M662" i="1"/>
  <c r="M663" i="1" a="1"/>
  <c r="M663" i="1"/>
  <c r="M664" i="1" a="1"/>
  <c r="M664" i="1" s="1"/>
  <c r="M665" i="1" a="1"/>
  <c r="M665" i="1" s="1"/>
  <c r="M666" i="1" a="1"/>
  <c r="M666" i="1" s="1"/>
  <c r="M667" i="1" a="1"/>
  <c r="M667" i="1"/>
  <c r="M668" i="1" a="1"/>
  <c r="M668" i="1"/>
  <c r="M669" i="1" a="1"/>
  <c r="M669" i="1"/>
  <c r="M670" i="1" a="1"/>
  <c r="M670" i="1" s="1"/>
  <c r="M671" i="1" a="1"/>
  <c r="M671" i="1"/>
  <c r="M672" i="1" a="1"/>
  <c r="M672" i="1"/>
  <c r="M673" i="1" a="1"/>
  <c r="M673" i="1"/>
  <c r="M674" i="1" a="1"/>
  <c r="M674" i="1" s="1"/>
  <c r="M675" i="1" a="1"/>
  <c r="M675" i="1" s="1"/>
  <c r="M676" i="1" a="1"/>
  <c r="M676" i="1" s="1"/>
  <c r="M677" i="1" a="1"/>
  <c r="M677" i="1"/>
  <c r="M678" i="1" a="1"/>
  <c r="M678" i="1"/>
  <c r="M679" i="1" a="1"/>
  <c r="M679" i="1"/>
  <c r="M680" i="1" a="1"/>
  <c r="M680" i="1" s="1"/>
  <c r="M681" i="1" a="1"/>
  <c r="M681" i="1"/>
  <c r="M682" i="1" a="1"/>
  <c r="M682" i="1"/>
  <c r="M683" i="1" a="1"/>
  <c r="M683" i="1"/>
  <c r="M684" i="1" a="1"/>
  <c r="M684" i="1" s="1"/>
  <c r="M685" i="1" a="1"/>
  <c r="M685" i="1" s="1"/>
  <c r="M686" i="1" a="1"/>
  <c r="M686" i="1" s="1"/>
  <c r="M687" i="1" a="1"/>
  <c r="M687" i="1"/>
  <c r="M688" i="1" a="1"/>
  <c r="M688" i="1"/>
  <c r="M689" i="1" a="1"/>
  <c r="M689" i="1"/>
  <c r="M690" i="1" a="1"/>
  <c r="M690" i="1" s="1"/>
  <c r="M691" i="1" a="1"/>
  <c r="M691" i="1"/>
  <c r="M692" i="1" a="1"/>
  <c r="M692" i="1"/>
  <c r="M693" i="1" a="1"/>
  <c r="M693" i="1"/>
  <c r="M694" i="1" a="1"/>
  <c r="M694" i="1" s="1"/>
  <c r="M695" i="1" a="1"/>
  <c r="M695" i="1" s="1"/>
  <c r="M696" i="1" a="1"/>
  <c r="M696" i="1" s="1"/>
  <c r="M697" i="1" a="1"/>
  <c r="M697" i="1"/>
  <c r="M698" i="1" a="1"/>
  <c r="M698" i="1"/>
  <c r="M699" i="1" a="1"/>
  <c r="M699" i="1"/>
  <c r="M700" i="1" a="1"/>
  <c r="M700" i="1" s="1"/>
  <c r="M701" i="1" a="1"/>
  <c r="M701" i="1"/>
  <c r="M702" i="1" a="1"/>
  <c r="M702" i="1"/>
  <c r="M703" i="1" a="1"/>
  <c r="M703" i="1"/>
  <c r="M704" i="1" a="1"/>
  <c r="M704" i="1" s="1"/>
  <c r="M705" i="1" a="1"/>
  <c r="M705" i="1" s="1"/>
  <c r="M706" i="1" a="1"/>
  <c r="M706" i="1" s="1"/>
  <c r="M707" i="1" a="1"/>
  <c r="M707" i="1"/>
  <c r="M708" i="1" a="1"/>
  <c r="M708" i="1"/>
  <c r="M709" i="1" a="1"/>
  <c r="M709" i="1"/>
  <c r="M710" i="1" a="1"/>
  <c r="M710" i="1" s="1"/>
  <c r="M711" i="1" a="1"/>
  <c r="M711" i="1"/>
  <c r="M712" i="1" a="1"/>
  <c r="M712" i="1"/>
  <c r="M713" i="1" a="1"/>
  <c r="M713" i="1"/>
  <c r="M714" i="1" a="1"/>
  <c r="M714" i="1" s="1"/>
  <c r="M715" i="1" a="1"/>
  <c r="M715" i="1" s="1"/>
  <c r="M716" i="1" a="1"/>
  <c r="M716" i="1" s="1"/>
  <c r="M717" i="1" a="1"/>
  <c r="M717" i="1"/>
  <c r="M718" i="1" a="1"/>
  <c r="M718" i="1"/>
  <c r="M719" i="1" a="1"/>
  <c r="M719" i="1"/>
  <c r="M720" i="1" a="1"/>
  <c r="M720" i="1" s="1"/>
  <c r="M721" i="1" a="1"/>
  <c r="M721" i="1"/>
  <c r="M722" i="1" a="1"/>
  <c r="M722" i="1"/>
  <c r="M723" i="1" a="1"/>
  <c r="M723" i="1"/>
  <c r="M724" i="1" a="1"/>
  <c r="M724" i="1" s="1"/>
  <c r="M725" i="1" a="1"/>
  <c r="M725" i="1" s="1"/>
  <c r="M726" i="1" a="1"/>
  <c r="M726" i="1" s="1"/>
  <c r="M727" i="1" a="1"/>
  <c r="M727" i="1"/>
  <c r="M728" i="1" a="1"/>
  <c r="M728" i="1"/>
  <c r="M729" i="1" a="1"/>
  <c r="M729" i="1"/>
  <c r="M730" i="1" a="1"/>
  <c r="M730" i="1" s="1"/>
  <c r="M731" i="1" a="1"/>
  <c r="M731" i="1"/>
  <c r="M732" i="1" a="1"/>
  <c r="M732" i="1"/>
  <c r="M733" i="1" a="1"/>
  <c r="M733" i="1"/>
  <c r="M734" i="1" a="1"/>
  <c r="M734" i="1" s="1"/>
  <c r="M735" i="1" a="1"/>
  <c r="M735" i="1" s="1"/>
  <c r="M736" i="1" a="1"/>
  <c r="M736" i="1" s="1"/>
  <c r="M737" i="1" a="1"/>
  <c r="M737" i="1"/>
  <c r="M738" i="1" a="1"/>
  <c r="M738" i="1"/>
  <c r="M739" i="1" a="1"/>
  <c r="M739" i="1"/>
  <c r="M740" i="1" a="1"/>
  <c r="M740" i="1" s="1"/>
  <c r="M741" i="1" a="1"/>
  <c r="M741" i="1"/>
  <c r="M742" i="1" a="1"/>
  <c r="M742" i="1"/>
  <c r="M743" i="1" a="1"/>
  <c r="M743" i="1"/>
  <c r="M744" i="1" a="1"/>
  <c r="M744" i="1" s="1"/>
  <c r="M745" i="1" a="1"/>
  <c r="M745" i="1" s="1"/>
  <c r="M746" i="1" a="1"/>
  <c r="M746" i="1" s="1"/>
  <c r="M747" i="1" a="1"/>
  <c r="M747" i="1"/>
  <c r="M748" i="1" a="1"/>
  <c r="M748" i="1"/>
  <c r="M749" i="1" a="1"/>
  <c r="M749" i="1"/>
  <c r="M750" i="1" a="1"/>
  <c r="M750" i="1" s="1"/>
  <c r="M751" i="1" a="1"/>
  <c r="M751" i="1"/>
  <c r="M752" i="1" a="1"/>
  <c r="M752" i="1"/>
  <c r="L21" i="2"/>
  <c r="L22" i="2" s="1"/>
  <c r="M10" i="2"/>
  <c r="N10" i="2"/>
  <c r="O10" i="2"/>
  <c r="M11" i="2"/>
  <c r="N11" i="2"/>
  <c r="O11" i="2"/>
  <c r="M12" i="2"/>
  <c r="N12" i="2"/>
  <c r="O12" i="2"/>
  <c r="M13" i="2"/>
  <c r="N13" i="2"/>
  <c r="O13" i="2"/>
  <c r="M14" i="2"/>
  <c r="N14" i="2"/>
  <c r="O14" i="2"/>
  <c r="M15" i="2"/>
  <c r="N15" i="2"/>
  <c r="O15" i="2"/>
  <c r="M16" i="2"/>
  <c r="N16" i="2"/>
  <c r="O16" i="2"/>
  <c r="M9" i="2"/>
  <c r="N9" i="2"/>
  <c r="O9" i="2"/>
  <c r="C10" i="2"/>
  <c r="D10" i="2"/>
  <c r="E10" i="2"/>
  <c r="F10" i="2"/>
  <c r="G10" i="2"/>
  <c r="H10" i="2"/>
  <c r="C11" i="2"/>
  <c r="D11" i="2"/>
  <c r="E11" i="2"/>
  <c r="F11" i="2"/>
  <c r="G11" i="2"/>
  <c r="H11" i="2"/>
  <c r="C12" i="2"/>
  <c r="D12" i="2"/>
  <c r="E12" i="2"/>
  <c r="F12" i="2"/>
  <c r="G12" i="2"/>
  <c r="H12" i="2"/>
  <c r="C13" i="2"/>
  <c r="D13" i="2"/>
  <c r="E13" i="2"/>
  <c r="F13" i="2"/>
  <c r="G13" i="2"/>
  <c r="H13" i="2"/>
  <c r="C14" i="2"/>
  <c r="D14" i="2"/>
  <c r="E14" i="2"/>
  <c r="F14" i="2"/>
  <c r="G14" i="2"/>
  <c r="H14" i="2"/>
  <c r="C15" i="2"/>
  <c r="D15" i="2"/>
  <c r="E15" i="2"/>
  <c r="F15" i="2"/>
  <c r="G15" i="2"/>
  <c r="H15" i="2"/>
  <c r="C16" i="2"/>
  <c r="D16" i="2"/>
  <c r="E16" i="2"/>
  <c r="F16" i="2"/>
  <c r="G16" i="2"/>
  <c r="H16" i="2"/>
  <c r="C17" i="2"/>
  <c r="D17" i="2"/>
  <c r="E17" i="2"/>
  <c r="F17" i="2"/>
  <c r="G17" i="2"/>
  <c r="H17" i="2"/>
  <c r="C18" i="2"/>
  <c r="D18" i="2"/>
  <c r="E18" i="2"/>
  <c r="F18" i="2"/>
  <c r="G18" i="2"/>
  <c r="H18" i="2"/>
  <c r="C19" i="2"/>
  <c r="D19" i="2"/>
  <c r="E19" i="2"/>
  <c r="F19" i="2"/>
  <c r="G19" i="2"/>
  <c r="H19" i="2"/>
  <c r="C20" i="2"/>
  <c r="D20" i="2"/>
  <c r="E20" i="2"/>
  <c r="F20" i="2"/>
  <c r="G20" i="2"/>
  <c r="H20" i="2"/>
  <c r="C21" i="2"/>
  <c r="D21" i="2"/>
  <c r="E21" i="2"/>
  <c r="F21" i="2"/>
  <c r="G21" i="2"/>
  <c r="H21" i="2"/>
  <c r="C22" i="2"/>
  <c r="D22" i="2"/>
  <c r="E22" i="2"/>
  <c r="F22" i="2"/>
  <c r="G22" i="2"/>
  <c r="H22" i="2"/>
  <c r="C23" i="2"/>
  <c r="D23" i="2"/>
  <c r="E23" i="2"/>
  <c r="F23" i="2"/>
  <c r="G23" i="2"/>
  <c r="H23" i="2"/>
  <c r="C24" i="2"/>
  <c r="D24" i="2"/>
  <c r="E24" i="2"/>
  <c r="F24" i="2"/>
  <c r="G24" i="2"/>
  <c r="H24" i="2"/>
  <c r="C25" i="2"/>
  <c r="D25" i="2"/>
  <c r="E25" i="2"/>
  <c r="F25" i="2"/>
  <c r="G25" i="2"/>
  <c r="H25" i="2"/>
  <c r="C26" i="2"/>
  <c r="D26" i="2"/>
  <c r="E26" i="2"/>
  <c r="F26" i="2"/>
  <c r="G26" i="2"/>
  <c r="H26" i="2"/>
  <c r="C27" i="2"/>
  <c r="D27" i="2"/>
  <c r="E27" i="2"/>
  <c r="F27" i="2"/>
  <c r="G27" i="2"/>
  <c r="H27" i="2"/>
  <c r="C28" i="2"/>
  <c r="D28" i="2"/>
  <c r="E28" i="2"/>
  <c r="F28" i="2"/>
  <c r="G28" i="2"/>
  <c r="H28" i="2"/>
  <c r="C9" i="2"/>
  <c r="D9" i="2"/>
  <c r="E9" i="2"/>
  <c r="F9" i="2"/>
  <c r="G9" i="2"/>
  <c r="H9" i="2"/>
  <c r="B6" i="2"/>
  <c r="C6" i="2"/>
  <c r="D6" i="2"/>
  <c r="E6" i="2"/>
  <c r="B3" i="2"/>
  <c r="A2" i="1"/>
  <c r="O21" i="2" l="1"/>
  <c r="N21" i="2"/>
  <c r="H29" i="2"/>
  <c r="G29" i="2"/>
  <c r="F29" i="2"/>
  <c r="M17" i="2"/>
  <c r="E29" i="2"/>
  <c r="I15" i="2" s="1"/>
  <c r="D29" i="2"/>
  <c r="G6" i="2"/>
  <c r="M21" i="2"/>
  <c r="M22" i="2"/>
  <c r="N22" i="2"/>
  <c r="O22" i="2"/>
  <c r="L23" i="2"/>
  <c r="O17" i="2"/>
  <c r="N17" i="2"/>
  <c r="P15" i="2" s="1"/>
  <c r="J19" i="2"/>
  <c r="J13" i="2"/>
  <c r="J14" i="2"/>
  <c r="J28" i="2"/>
  <c r="J26" i="2"/>
  <c r="J24" i="2"/>
  <c r="J21" i="2"/>
  <c r="J27" i="2"/>
  <c r="J18" i="2"/>
  <c r="J22" i="2"/>
  <c r="J15" i="2"/>
  <c r="J12" i="2"/>
  <c r="J17" i="2"/>
  <c r="J20" i="2"/>
  <c r="J11" i="2"/>
  <c r="J25" i="2"/>
  <c r="J16" i="2"/>
  <c r="J10" i="2"/>
  <c r="J23" i="2"/>
  <c r="J9" i="2"/>
  <c r="F6" i="2"/>
  <c r="J29" i="2" s="1"/>
  <c r="P9" i="2" l="1"/>
  <c r="P12" i="2"/>
  <c r="P14" i="2"/>
  <c r="I25" i="2"/>
  <c r="I24" i="2"/>
  <c r="I23" i="2"/>
  <c r="I20" i="2"/>
  <c r="I17" i="2"/>
  <c r="P10" i="2"/>
  <c r="I12" i="2"/>
  <c r="I9" i="2"/>
  <c r="I26" i="2"/>
  <c r="I14" i="2"/>
  <c r="P16" i="2"/>
  <c r="I28" i="2"/>
  <c r="I22" i="2"/>
  <c r="I16" i="2"/>
  <c r="I13" i="2"/>
  <c r="I10" i="2"/>
  <c r="P13" i="2"/>
  <c r="I11" i="2"/>
  <c r="I19" i="2"/>
  <c r="I27" i="2"/>
  <c r="I21" i="2"/>
  <c r="I18" i="2"/>
  <c r="P11" i="2"/>
  <c r="L24" i="2"/>
  <c r="M23" i="2"/>
  <c r="N23" i="2"/>
  <c r="O23" i="2"/>
  <c r="I29" i="2" l="1"/>
  <c r="P17" i="2"/>
  <c r="L25" i="2"/>
  <c r="M24" i="2"/>
  <c r="N24" i="2"/>
  <c r="O24" i="2"/>
  <c r="L26" i="2" l="1"/>
  <c r="M25" i="2"/>
  <c r="N25" i="2"/>
  <c r="O25" i="2"/>
  <c r="L27" i="2" l="1"/>
  <c r="M26" i="2"/>
  <c r="N26" i="2"/>
  <c r="O26" i="2"/>
  <c r="L28" i="2" l="1"/>
  <c r="O27" i="2"/>
  <c r="M27" i="2"/>
  <c r="N27" i="2"/>
  <c r="L29" i="2" l="1"/>
  <c r="M28" i="2"/>
  <c r="N28" i="2"/>
  <c r="O28" i="2"/>
  <c r="L30" i="2" l="1"/>
  <c r="M29" i="2"/>
  <c r="N29" i="2"/>
  <c r="O29" i="2"/>
  <c r="L31" i="2" l="1"/>
  <c r="M30" i="2"/>
  <c r="N30" i="2"/>
  <c r="O30" i="2"/>
  <c r="L32" i="2" l="1"/>
  <c r="M31" i="2"/>
  <c r="N31" i="2"/>
  <c r="O31" i="2"/>
  <c r="M32" i="2" l="1"/>
  <c r="M33" i="2" s="1"/>
  <c r="N32" i="2"/>
  <c r="N33" i="2" s="1"/>
  <c r="O32" i="2"/>
  <c r="O3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<sst xmlns="http://schemas.openxmlformats.org/spreadsheetml/2006/main" count="3816" uniqueCount="815">
  <si>
    <t>INV-1001</t>
  </si>
  <si>
    <t>Cafe chain</t>
  </si>
  <si>
    <t>Paid</t>
  </si>
  <si>
    <t>Invoice</t>
  </si>
  <si>
    <t>INV-1002</t>
  </si>
  <si>
    <t>Red Sea Fresh Mart</t>
  </si>
  <si>
    <t>Supermarket</t>
  </si>
  <si>
    <t>INV-1003</t>
  </si>
  <si>
    <t>Najd Family Stores</t>
  </si>
  <si>
    <t>INV-1004</t>
  </si>
  <si>
    <t>Al Baraka Catering</t>
  </si>
  <si>
    <t>Catering</t>
  </si>
  <si>
    <t>INV-1005</t>
  </si>
  <si>
    <t>Corniche Cafe Group</t>
  </si>
  <si>
    <t>INV-1006</t>
  </si>
  <si>
    <t>INV-1007</t>
  </si>
  <si>
    <t>Alsafa Minimarket</t>
  </si>
  <si>
    <t>Minimarket</t>
  </si>
  <si>
    <t>INV-1008</t>
  </si>
  <si>
    <t>INV-1009</t>
  </si>
  <si>
    <t>Tahlia Bites</t>
  </si>
  <si>
    <t>Restaurant</t>
  </si>
  <si>
    <t>INV-1010</t>
  </si>
  <si>
    <t>INV-1011</t>
  </si>
  <si>
    <t>Jeddah Hotel Supplies</t>
  </si>
  <si>
    <t>Hospitality</t>
  </si>
  <si>
    <t>INV-1012</t>
  </si>
  <si>
    <t>INV-1013</t>
  </si>
  <si>
    <t>INV-1014</t>
  </si>
  <si>
    <t>INV-1015</t>
  </si>
  <si>
    <t>INV-1016</t>
  </si>
  <si>
    <t>Hyper Basket Markets</t>
  </si>
  <si>
    <t>INV-1017</t>
  </si>
  <si>
    <t>INV-1018</t>
  </si>
  <si>
    <t>Palm Grill Restaurants</t>
  </si>
  <si>
    <t>INV-1019</t>
  </si>
  <si>
    <t>Rawabi Mini Mart</t>
  </si>
  <si>
    <t>INV-1020</t>
  </si>
  <si>
    <t>Al Khalij Sweets</t>
  </si>
  <si>
    <t>Bakery</t>
  </si>
  <si>
    <t>INV-1021</t>
  </si>
  <si>
    <t>INV-1022</t>
  </si>
  <si>
    <t>INV-1023</t>
  </si>
  <si>
    <t>INV-1024</t>
  </si>
  <si>
    <t>INV-1025</t>
  </si>
  <si>
    <t>Taif Road Mart</t>
  </si>
  <si>
    <t>INV-1026</t>
  </si>
  <si>
    <t>INV-1027</t>
  </si>
  <si>
    <t>INV-1028</t>
  </si>
  <si>
    <t>INV-1029</t>
  </si>
  <si>
    <t>INV-1030</t>
  </si>
  <si>
    <t>INV-1031</t>
  </si>
  <si>
    <t>INV-1032</t>
  </si>
  <si>
    <t>INV-1033</t>
  </si>
  <si>
    <t>Al Hamra Events</t>
  </si>
  <si>
    <t>INV-1034</t>
  </si>
  <si>
    <t>Madinah Road Grocers</t>
  </si>
  <si>
    <t>INV-1035</t>
  </si>
  <si>
    <t>INV-1036</t>
  </si>
  <si>
    <t>INV-1037</t>
  </si>
  <si>
    <t>INV-1038</t>
  </si>
  <si>
    <t>Blue Wave Cafe</t>
  </si>
  <si>
    <t>Cafe</t>
  </si>
  <si>
    <t>INV-1039</t>
  </si>
  <si>
    <t>INV-1040</t>
  </si>
  <si>
    <t>INV-1041</t>
  </si>
  <si>
    <t>Oasis Juice Bar</t>
  </si>
  <si>
    <t>INV-1042</t>
  </si>
  <si>
    <t>INV-1043</t>
  </si>
  <si>
    <t>Zahra Superstore</t>
  </si>
  <si>
    <t>INV-1044</t>
  </si>
  <si>
    <t>INV-1045</t>
  </si>
  <si>
    <t>INV-1046</t>
  </si>
  <si>
    <t>INV-1047</t>
  </si>
  <si>
    <t>INV-1048</t>
  </si>
  <si>
    <t>Marina Dining Co</t>
  </si>
  <si>
    <t>INV-1049</t>
  </si>
  <si>
    <t>INV-1050</t>
  </si>
  <si>
    <t>INV-1051</t>
  </si>
  <si>
    <t>INV-1052</t>
  </si>
  <si>
    <t>INV-1053</t>
  </si>
  <si>
    <t>INV-1054</t>
  </si>
  <si>
    <t>INV-1055</t>
  </si>
  <si>
    <t>INV-1056</t>
  </si>
  <si>
    <t>INV-1057</t>
  </si>
  <si>
    <t>INV-1058</t>
  </si>
  <si>
    <t>INV-1059</t>
  </si>
  <si>
    <t>INV-1060</t>
  </si>
  <si>
    <t>INV-1061</t>
  </si>
  <si>
    <t>Sunrise Bakery</t>
  </si>
  <si>
    <t>INV-1062</t>
  </si>
  <si>
    <t>INV-1063</t>
  </si>
  <si>
    <t>INV-1064</t>
  </si>
  <si>
    <t>INV-1065</t>
  </si>
  <si>
    <t>INV-1066</t>
  </si>
  <si>
    <t>Harbor Light Cafeteria</t>
  </si>
  <si>
    <t>INV-1067</t>
  </si>
  <si>
    <t>INV-1068</t>
  </si>
  <si>
    <t>INV-1069</t>
  </si>
  <si>
    <t>INV-1070</t>
  </si>
  <si>
    <t>INV-1071</t>
  </si>
  <si>
    <t>INV-1072</t>
  </si>
  <si>
    <t>INV-1073</t>
  </si>
  <si>
    <t>INV-1074</t>
  </si>
  <si>
    <t>INV-1075</t>
  </si>
  <si>
    <t>INV-1076</t>
  </si>
  <si>
    <t>INV-1077</t>
  </si>
  <si>
    <t>INV-1078</t>
  </si>
  <si>
    <t>INV-1079</t>
  </si>
  <si>
    <t>INV-1080</t>
  </si>
  <si>
    <t>CN-1737</t>
  </si>
  <si>
    <t>Credit</t>
  </si>
  <si>
    <t>Credit note</t>
  </si>
  <si>
    <t>CN-1748</t>
  </si>
  <si>
    <t>INV-1081</t>
  </si>
  <si>
    <t>INV-1082</t>
  </si>
  <si>
    <t>INV-1083</t>
  </si>
  <si>
    <t>INV-1084</t>
  </si>
  <si>
    <t>INV-1085</t>
  </si>
  <si>
    <t>INV-1086</t>
  </si>
  <si>
    <t>INV-1087</t>
  </si>
  <si>
    <t>INV-1088</t>
  </si>
  <si>
    <t>INV-1089</t>
  </si>
  <si>
    <t>INV-1090</t>
  </si>
  <si>
    <t>INV-1091</t>
  </si>
  <si>
    <t>INV-1092</t>
  </si>
  <si>
    <t>INV-1093</t>
  </si>
  <si>
    <t>INV-1094</t>
  </si>
  <si>
    <t>INV-1095</t>
  </si>
  <si>
    <t>INV-1096</t>
  </si>
  <si>
    <t>INV-1097</t>
  </si>
  <si>
    <t>INV-1098</t>
  </si>
  <si>
    <t>INV-1099</t>
  </si>
  <si>
    <t>INV-1100</t>
  </si>
  <si>
    <t>INV-1101</t>
  </si>
  <si>
    <t>INV-1102</t>
  </si>
  <si>
    <t>INV-1103</t>
  </si>
  <si>
    <t>INV-1104</t>
  </si>
  <si>
    <t>INV-1105</t>
  </si>
  <si>
    <t>INV-1106</t>
  </si>
  <si>
    <t>INV-1107</t>
  </si>
  <si>
    <t>INV-1108</t>
  </si>
  <si>
    <t>INV-1109</t>
  </si>
  <si>
    <t>INV-1110</t>
  </si>
  <si>
    <t>INV-1111</t>
  </si>
  <si>
    <t>INV-1112</t>
  </si>
  <si>
    <t>INV-1113</t>
  </si>
  <si>
    <t>INV-1114</t>
  </si>
  <si>
    <t>INV-1115</t>
  </si>
  <si>
    <t>INV-1116</t>
  </si>
  <si>
    <t>INV-1117</t>
  </si>
  <si>
    <t>INV-1118</t>
  </si>
  <si>
    <t>INV-1119</t>
  </si>
  <si>
    <t>INV-1120</t>
  </si>
  <si>
    <t>INV-1121</t>
  </si>
  <si>
    <t>INV-1122</t>
  </si>
  <si>
    <t>INV-1123</t>
  </si>
  <si>
    <t>INV-1124</t>
  </si>
  <si>
    <t>INV-1125</t>
  </si>
  <si>
    <t>INV-1126</t>
  </si>
  <si>
    <t>INV-1127</t>
  </si>
  <si>
    <t>INV-1128</t>
  </si>
  <si>
    <t>INV-1129</t>
  </si>
  <si>
    <t>INV-1130</t>
  </si>
  <si>
    <t>INV-1131</t>
  </si>
  <si>
    <t>INV-1132</t>
  </si>
  <si>
    <t>INV-1133</t>
  </si>
  <si>
    <t>INV-1134</t>
  </si>
  <si>
    <t>INV-1135</t>
  </si>
  <si>
    <t>INV-1136</t>
  </si>
  <si>
    <t>INV-1137</t>
  </si>
  <si>
    <t>INV-1138</t>
  </si>
  <si>
    <t>INV-1139</t>
  </si>
  <si>
    <t>INV-1140</t>
  </si>
  <si>
    <t>INV-1141</t>
  </si>
  <si>
    <t>INV-1142</t>
  </si>
  <si>
    <t>INV-1143</t>
  </si>
  <si>
    <t>INV-1144</t>
  </si>
  <si>
    <t>INV-1145</t>
  </si>
  <si>
    <t>INV-1146</t>
  </si>
  <si>
    <t>INV-1147</t>
  </si>
  <si>
    <t>INV-1148</t>
  </si>
  <si>
    <t>INV-1149</t>
  </si>
  <si>
    <t>INV-1150</t>
  </si>
  <si>
    <t>INV-1151</t>
  </si>
  <si>
    <t>INV-1152</t>
  </si>
  <si>
    <t>INV-1153</t>
  </si>
  <si>
    <t>INV-1154</t>
  </si>
  <si>
    <t>INV-1155</t>
  </si>
  <si>
    <t>INV-1156</t>
  </si>
  <si>
    <t>INV-1157</t>
  </si>
  <si>
    <t>INV-1158</t>
  </si>
  <si>
    <t>INV-1159</t>
  </si>
  <si>
    <t>INV-1160</t>
  </si>
  <si>
    <t>INV-1161</t>
  </si>
  <si>
    <t>INV-1162</t>
  </si>
  <si>
    <t>INV-1163</t>
  </si>
  <si>
    <t>INV-1164</t>
  </si>
  <si>
    <t>INV-1165</t>
  </si>
  <si>
    <t>INV-1166</t>
  </si>
  <si>
    <t>INV-1167</t>
  </si>
  <si>
    <t>INV-1168</t>
  </si>
  <si>
    <t>INV-1169</t>
  </si>
  <si>
    <t>INV-1170</t>
  </si>
  <si>
    <t>INV-1171</t>
  </si>
  <si>
    <t>INV-1172</t>
  </si>
  <si>
    <t>INV-1173</t>
  </si>
  <si>
    <t>INV-1174</t>
  </si>
  <si>
    <t>INV-1175</t>
  </si>
  <si>
    <t>INV-1176</t>
  </si>
  <si>
    <t>INV-1177</t>
  </si>
  <si>
    <t>INV-1178</t>
  </si>
  <si>
    <t>INV-1179</t>
  </si>
  <si>
    <t>INV-1180</t>
  </si>
  <si>
    <t>INV-1181</t>
  </si>
  <si>
    <t>INV-1182</t>
  </si>
  <si>
    <t>INV-1183</t>
  </si>
  <si>
    <t>INV-1184</t>
  </si>
  <si>
    <t>INV-1185</t>
  </si>
  <si>
    <t>INV-1186</t>
  </si>
  <si>
    <t>INV-1187</t>
  </si>
  <si>
    <t>INV-1188</t>
  </si>
  <si>
    <t>INV-1189</t>
  </si>
  <si>
    <t>INV-1190</t>
  </si>
  <si>
    <t>INV-1191</t>
  </si>
  <si>
    <t>INV-1192</t>
  </si>
  <si>
    <t>INV-1193</t>
  </si>
  <si>
    <t>INV-1194</t>
  </si>
  <si>
    <t>INV-1195</t>
  </si>
  <si>
    <t>INV-1196</t>
  </si>
  <si>
    <t>INV-1197</t>
  </si>
  <si>
    <t>INV-1198</t>
  </si>
  <si>
    <t>INV-1199</t>
  </si>
  <si>
    <t>INV-1200</t>
  </si>
  <si>
    <t>INV-1201</t>
  </si>
  <si>
    <t>INV-1202</t>
  </si>
  <si>
    <t>INV-1203</t>
  </si>
  <si>
    <t>INV-1204</t>
  </si>
  <si>
    <t>INV-1205</t>
  </si>
  <si>
    <t>INV-1206</t>
  </si>
  <si>
    <t>INV-1207</t>
  </si>
  <si>
    <t>INV-1208</t>
  </si>
  <si>
    <t>INV-1209</t>
  </si>
  <si>
    <t>INV-1210</t>
  </si>
  <si>
    <t>INV-1211</t>
  </si>
  <si>
    <t>INV-1212</t>
  </si>
  <si>
    <t>INV-1213</t>
  </si>
  <si>
    <t>INV-1214</t>
  </si>
  <si>
    <t>INV-1215</t>
  </si>
  <si>
    <t>INV-1216</t>
  </si>
  <si>
    <t>INV-1217</t>
  </si>
  <si>
    <t>INV-1218</t>
  </si>
  <si>
    <t>INV-1219</t>
  </si>
  <si>
    <t>INV-1220</t>
  </si>
  <si>
    <t>INV-1221</t>
  </si>
  <si>
    <t>INV-1222</t>
  </si>
  <si>
    <t>INV-1223</t>
  </si>
  <si>
    <t>INV-1224</t>
  </si>
  <si>
    <t>INV-1225</t>
  </si>
  <si>
    <t>CN-1741</t>
  </si>
  <si>
    <t>INV-1226</t>
  </si>
  <si>
    <t>INV-1227</t>
  </si>
  <si>
    <t>INV-1228</t>
  </si>
  <si>
    <t>INV-1229</t>
  </si>
  <si>
    <t>INV-1230</t>
  </si>
  <si>
    <t>INV-1231</t>
  </si>
  <si>
    <t>INV-1232</t>
  </si>
  <si>
    <t>INV-1233</t>
  </si>
  <si>
    <t>INV-1234</t>
  </si>
  <si>
    <t>INV-1235</t>
  </si>
  <si>
    <t>INV-1236</t>
  </si>
  <si>
    <t>INV-1237</t>
  </si>
  <si>
    <t>INV-1238</t>
  </si>
  <si>
    <t>CN-1742</t>
  </si>
  <si>
    <t>INV-1239</t>
  </si>
  <si>
    <t>INV-1240</t>
  </si>
  <si>
    <t>INV-1241</t>
  </si>
  <si>
    <t>INV-1242</t>
  </si>
  <si>
    <t>INV-1243</t>
  </si>
  <si>
    <t>INV-1244</t>
  </si>
  <si>
    <t>INV-1245</t>
  </si>
  <si>
    <t>INV-1246</t>
  </si>
  <si>
    <t>INV-1247</t>
  </si>
  <si>
    <t>INV-1248</t>
  </si>
  <si>
    <t>INV-1249</t>
  </si>
  <si>
    <t>INV-1250</t>
  </si>
  <si>
    <t>INV-1251</t>
  </si>
  <si>
    <t>INV-1252</t>
  </si>
  <si>
    <t>INV-1253</t>
  </si>
  <si>
    <t>INV-1254</t>
  </si>
  <si>
    <t>INV-1255</t>
  </si>
  <si>
    <t>INV-1256</t>
  </si>
  <si>
    <t>INV-1257</t>
  </si>
  <si>
    <t>INV-1258</t>
  </si>
  <si>
    <t>INV-1259</t>
  </si>
  <si>
    <t>INV-1260</t>
  </si>
  <si>
    <t>INV-1261</t>
  </si>
  <si>
    <t>INV-1262</t>
  </si>
  <si>
    <t>INV-1263</t>
  </si>
  <si>
    <t>INV-1264</t>
  </si>
  <si>
    <t>INV-1265</t>
  </si>
  <si>
    <t>INV-1266</t>
  </si>
  <si>
    <t>INV-1267</t>
  </si>
  <si>
    <t>INV-1268</t>
  </si>
  <si>
    <t>INV-1269</t>
  </si>
  <si>
    <t>INV-1270</t>
  </si>
  <si>
    <t>INV-1271</t>
  </si>
  <si>
    <t>INV-1272</t>
  </si>
  <si>
    <t>INV-1273</t>
  </si>
  <si>
    <t>INV-1274</t>
  </si>
  <si>
    <t>INV-1275</t>
  </si>
  <si>
    <t>INV-1276</t>
  </si>
  <si>
    <t>INV-1277</t>
  </si>
  <si>
    <t>INV-1278</t>
  </si>
  <si>
    <t>INV-1279</t>
  </si>
  <si>
    <t>INV-1280</t>
  </si>
  <si>
    <t>INV-1281</t>
  </si>
  <si>
    <t>INV-1282</t>
  </si>
  <si>
    <t>INV-1283</t>
  </si>
  <si>
    <t>INV-1284</t>
  </si>
  <si>
    <t>INV-1285</t>
  </si>
  <si>
    <t>INV-1286</t>
  </si>
  <si>
    <t>INV-1287</t>
  </si>
  <si>
    <t>INV-1288</t>
  </si>
  <si>
    <t>INV-1289</t>
  </si>
  <si>
    <t>INV-1290</t>
  </si>
  <si>
    <t>INV-1291</t>
  </si>
  <si>
    <t>INV-1292</t>
  </si>
  <si>
    <t>CN-1747</t>
  </si>
  <si>
    <t>INV-1293</t>
  </si>
  <si>
    <t>INV-1294</t>
  </si>
  <si>
    <t>INV-1295</t>
  </si>
  <si>
    <t>INV-1296</t>
  </si>
  <si>
    <t>INV-1297</t>
  </si>
  <si>
    <t>INV-1298</t>
  </si>
  <si>
    <t>INV-1299</t>
  </si>
  <si>
    <t>INV-1300</t>
  </si>
  <si>
    <t>CN-1735</t>
  </si>
  <si>
    <t>INV-1301</t>
  </si>
  <si>
    <t>INV-1302</t>
  </si>
  <si>
    <t>INV-1303</t>
  </si>
  <si>
    <t>INV-1304</t>
  </si>
  <si>
    <t>INV-1305</t>
  </si>
  <si>
    <t>INV-1306</t>
  </si>
  <si>
    <t>INV-1307</t>
  </si>
  <si>
    <t>INV-1308</t>
  </si>
  <si>
    <t>INV-1309</t>
  </si>
  <si>
    <t>INV-1310</t>
  </si>
  <si>
    <t>INV-1311</t>
  </si>
  <si>
    <t>INV-1312</t>
  </si>
  <si>
    <t>INV-1313</t>
  </si>
  <si>
    <t>INV-1314</t>
  </si>
  <si>
    <t>INV-1315</t>
  </si>
  <si>
    <t>INV-1316</t>
  </si>
  <si>
    <t>INV-1317</t>
  </si>
  <si>
    <t>CN-1743</t>
  </si>
  <si>
    <t>INV-1318</t>
  </si>
  <si>
    <t>INV-1319</t>
  </si>
  <si>
    <t>INV-1320</t>
  </si>
  <si>
    <t>INV-1321</t>
  </si>
  <si>
    <t>INV-1322</t>
  </si>
  <si>
    <t>INV-1323</t>
  </si>
  <si>
    <t>INV-1324</t>
  </si>
  <si>
    <t>INV-1325</t>
  </si>
  <si>
    <t>INV-1326</t>
  </si>
  <si>
    <t>INV-1327</t>
  </si>
  <si>
    <t>INV-1328</t>
  </si>
  <si>
    <t>INV-1329</t>
  </si>
  <si>
    <t>INV-1330</t>
  </si>
  <si>
    <t>INV-1331</t>
  </si>
  <si>
    <t>INV-1332</t>
  </si>
  <si>
    <t>INV-1333</t>
  </si>
  <si>
    <t>INV-1334</t>
  </si>
  <si>
    <t>INV-1335</t>
  </si>
  <si>
    <t>INV-1336</t>
  </si>
  <si>
    <t>INV-1337</t>
  </si>
  <si>
    <t>INV-1338</t>
  </si>
  <si>
    <t>INV-1339</t>
  </si>
  <si>
    <t>INV-1340</t>
  </si>
  <si>
    <t>INV-1341</t>
  </si>
  <si>
    <t>INV-1342</t>
  </si>
  <si>
    <t>INV-1343</t>
  </si>
  <si>
    <t>INV-1344</t>
  </si>
  <si>
    <t>INV-1345</t>
  </si>
  <si>
    <t>INV-1346</t>
  </si>
  <si>
    <t>INV-1347</t>
  </si>
  <si>
    <t>INV-1348</t>
  </si>
  <si>
    <t>INV-1349</t>
  </si>
  <si>
    <t>INV-1350</t>
  </si>
  <si>
    <t>INV-1351</t>
  </si>
  <si>
    <t>INV-1352</t>
  </si>
  <si>
    <t>INV-1353</t>
  </si>
  <si>
    <t>INV-1354</t>
  </si>
  <si>
    <t>INV-1355</t>
  </si>
  <si>
    <t>INV-1356</t>
  </si>
  <si>
    <t>INV-1357</t>
  </si>
  <si>
    <t>INV-1358</t>
  </si>
  <si>
    <t>INV-1359</t>
  </si>
  <si>
    <t>INV-1360</t>
  </si>
  <si>
    <t>INV-1361</t>
  </si>
  <si>
    <t>INV-1362</t>
  </si>
  <si>
    <t>INV-1363</t>
  </si>
  <si>
    <t>INV-1364</t>
  </si>
  <si>
    <t>INV-1365</t>
  </si>
  <si>
    <t>INV-1366</t>
  </si>
  <si>
    <t>INV-1367</t>
  </si>
  <si>
    <t>INV-1368</t>
  </si>
  <si>
    <t>INV-1369</t>
  </si>
  <si>
    <t>INV-1370</t>
  </si>
  <si>
    <t>INV-1371</t>
  </si>
  <si>
    <t>INV-1372</t>
  </si>
  <si>
    <t>INV-1373</t>
  </si>
  <si>
    <t>INV-1374</t>
  </si>
  <si>
    <t>INV-1375</t>
  </si>
  <si>
    <t>INV-1376</t>
  </si>
  <si>
    <t>INV-1377</t>
  </si>
  <si>
    <t>INV-1378</t>
  </si>
  <si>
    <t>INV-1379</t>
  </si>
  <si>
    <t>INV-1380</t>
  </si>
  <si>
    <t>INV-1381</t>
  </si>
  <si>
    <t>INV-1382</t>
  </si>
  <si>
    <t>INV-1383</t>
  </si>
  <si>
    <t>INV-1384</t>
  </si>
  <si>
    <t>INV-1385</t>
  </si>
  <si>
    <t>INV-1386</t>
  </si>
  <si>
    <t>INV-1387</t>
  </si>
  <si>
    <t>INV-1388</t>
  </si>
  <si>
    <t>INV-1389</t>
  </si>
  <si>
    <t>INV-1390</t>
  </si>
  <si>
    <t>INV-1391</t>
  </si>
  <si>
    <t>INV-1392</t>
  </si>
  <si>
    <t>INV-1393</t>
  </si>
  <si>
    <t>INV-1394</t>
  </si>
  <si>
    <t>INV-1395</t>
  </si>
  <si>
    <t>INV-1396</t>
  </si>
  <si>
    <t>INV-1397</t>
  </si>
  <si>
    <t>INV-1398</t>
  </si>
  <si>
    <t>INV-1399</t>
  </si>
  <si>
    <t>INV-1400</t>
  </si>
  <si>
    <t>INV-1401</t>
  </si>
  <si>
    <t>INV-1402</t>
  </si>
  <si>
    <t>INV-1403</t>
  </si>
  <si>
    <t>INV-1404</t>
  </si>
  <si>
    <t>INV-1405</t>
  </si>
  <si>
    <t>INV-1406</t>
  </si>
  <si>
    <t>INV-1407</t>
  </si>
  <si>
    <t>INV-1408</t>
  </si>
  <si>
    <t>INV-1409</t>
  </si>
  <si>
    <t>INV-1410</t>
  </si>
  <si>
    <t>INV-1411</t>
  </si>
  <si>
    <t>INV-1412</t>
  </si>
  <si>
    <t>INV-1413</t>
  </si>
  <si>
    <t>INV-1414</t>
  </si>
  <si>
    <t>INV-1415</t>
  </si>
  <si>
    <t>INV-1416</t>
  </si>
  <si>
    <t>INV-1417</t>
  </si>
  <si>
    <t>INV-1418</t>
  </si>
  <si>
    <t>INV-1419</t>
  </si>
  <si>
    <t>INV-1420</t>
  </si>
  <si>
    <t>INV-1421</t>
  </si>
  <si>
    <t>INV-1422</t>
  </si>
  <si>
    <t>INV-1423</t>
  </si>
  <si>
    <t>INV-1424</t>
  </si>
  <si>
    <t>INV-1425</t>
  </si>
  <si>
    <t>INV-1426</t>
  </si>
  <si>
    <t>INV-1427</t>
  </si>
  <si>
    <t>INV-1428</t>
  </si>
  <si>
    <t>INV-1429</t>
  </si>
  <si>
    <t>INV-1430</t>
  </si>
  <si>
    <t>INV-1431</t>
  </si>
  <si>
    <t>INV-1432</t>
  </si>
  <si>
    <t>INV-1433</t>
  </si>
  <si>
    <t>INV-1434</t>
  </si>
  <si>
    <t>INV-1435</t>
  </si>
  <si>
    <t>INV-1436</t>
  </si>
  <si>
    <t>INV-1437</t>
  </si>
  <si>
    <t>INV-1438</t>
  </si>
  <si>
    <t>INV-1439</t>
  </si>
  <si>
    <t>INV-1440</t>
  </si>
  <si>
    <t>INV-1441</t>
  </si>
  <si>
    <t>INV-1442</t>
  </si>
  <si>
    <t>INV-1443</t>
  </si>
  <si>
    <t>INV-1444</t>
  </si>
  <si>
    <t>INV-1445</t>
  </si>
  <si>
    <t>INV-1446</t>
  </si>
  <si>
    <t>INV-1447</t>
  </si>
  <si>
    <t>INV-1448</t>
  </si>
  <si>
    <t>INV-1449</t>
  </si>
  <si>
    <t>INV-1450</t>
  </si>
  <si>
    <t>INV-1451</t>
  </si>
  <si>
    <t>INV-1452</t>
  </si>
  <si>
    <t>INV-1453</t>
  </si>
  <si>
    <t>INV-1454</t>
  </si>
  <si>
    <t>INV-1455</t>
  </si>
  <si>
    <t>INV-1456</t>
  </si>
  <si>
    <t>INV-1457</t>
  </si>
  <si>
    <t>INV-1458</t>
  </si>
  <si>
    <t>INV-1459</t>
  </si>
  <si>
    <t>INV-1460</t>
  </si>
  <si>
    <t>INV-1461</t>
  </si>
  <si>
    <t>INV-1462</t>
  </si>
  <si>
    <t>CN-1739</t>
  </si>
  <si>
    <t>INV-1463</t>
  </si>
  <si>
    <t>INV-1464</t>
  </si>
  <si>
    <t>INV-1465</t>
  </si>
  <si>
    <t>INV-1466</t>
  </si>
  <si>
    <t>INV-1467</t>
  </si>
  <si>
    <t>INV-1468</t>
  </si>
  <si>
    <t>INV-1469</t>
  </si>
  <si>
    <t>INV-1470</t>
  </si>
  <si>
    <t>INV-1471</t>
  </si>
  <si>
    <t>CN-1749</t>
  </si>
  <si>
    <t>INV-1472</t>
  </si>
  <si>
    <t>INV-1473</t>
  </si>
  <si>
    <t>INV-1474</t>
  </si>
  <si>
    <t>INV-1475</t>
  </si>
  <si>
    <t>INV-1476</t>
  </si>
  <si>
    <t>INV-1477</t>
  </si>
  <si>
    <t>INV-1478</t>
  </si>
  <si>
    <t>INV-1479</t>
  </si>
  <si>
    <t>INV-1480</t>
  </si>
  <si>
    <t>INV-1481</t>
  </si>
  <si>
    <t>INV-1482</t>
  </si>
  <si>
    <t>INV-1483</t>
  </si>
  <si>
    <t>INV-1484</t>
  </si>
  <si>
    <t>INV-1485</t>
  </si>
  <si>
    <t>INV-1486</t>
  </si>
  <si>
    <t>INV-1487</t>
  </si>
  <si>
    <t>INV-1488</t>
  </si>
  <si>
    <t>INV-1489</t>
  </si>
  <si>
    <t>INV-1490</t>
  </si>
  <si>
    <t>INV-1491</t>
  </si>
  <si>
    <t>INV-1492</t>
  </si>
  <si>
    <t>INV-1493</t>
  </si>
  <si>
    <t>INV-1494</t>
  </si>
  <si>
    <t>INV-1495</t>
  </si>
  <si>
    <t>INV-1496</t>
  </si>
  <si>
    <t>INV-1497</t>
  </si>
  <si>
    <t>INV-1498</t>
  </si>
  <si>
    <t>INV-1499</t>
  </si>
  <si>
    <t>INV-1500</t>
  </si>
  <si>
    <t>CN-1732</t>
  </si>
  <si>
    <t>INV-1501</t>
  </si>
  <si>
    <t>INV-1502</t>
  </si>
  <si>
    <t>INV-1503</t>
  </si>
  <si>
    <t>Open</t>
  </si>
  <si>
    <t>INV-1504</t>
  </si>
  <si>
    <t>INV-1505</t>
  </si>
  <si>
    <t>INV-1506</t>
  </si>
  <si>
    <t>INV-1507</t>
  </si>
  <si>
    <t>INV-1508</t>
  </si>
  <si>
    <t>INV-1509</t>
  </si>
  <si>
    <t>INV-1510</t>
  </si>
  <si>
    <t>INV-1511</t>
  </si>
  <si>
    <t>INV-1512</t>
  </si>
  <si>
    <t>INV-1513</t>
  </si>
  <si>
    <t>INV-1514</t>
  </si>
  <si>
    <t>INV-1515</t>
  </si>
  <si>
    <t>INV-1516</t>
  </si>
  <si>
    <t>INV-1517</t>
  </si>
  <si>
    <t>INV-1518</t>
  </si>
  <si>
    <t>INV-1519</t>
  </si>
  <si>
    <t>INV-1520</t>
  </si>
  <si>
    <t>INV-1521</t>
  </si>
  <si>
    <t>INV-1522</t>
  </si>
  <si>
    <t>INV-1523</t>
  </si>
  <si>
    <t>INV-1524</t>
  </si>
  <si>
    <t>INV-1525</t>
  </si>
  <si>
    <t>INV-1526</t>
  </si>
  <si>
    <t>INV-1527</t>
  </si>
  <si>
    <t>INV-1528</t>
  </si>
  <si>
    <t>INV-1529</t>
  </si>
  <si>
    <t>INV-1530</t>
  </si>
  <si>
    <t>INV-1531</t>
  </si>
  <si>
    <t>INV-1532</t>
  </si>
  <si>
    <t>INV-1533</t>
  </si>
  <si>
    <t>INV-1534</t>
  </si>
  <si>
    <t>INV-1535</t>
  </si>
  <si>
    <t>INV-1536</t>
  </si>
  <si>
    <t>INV-1537</t>
  </si>
  <si>
    <t>INV-1538</t>
  </si>
  <si>
    <t>INV-1539</t>
  </si>
  <si>
    <t>INV-1540</t>
  </si>
  <si>
    <t>INV-1541</t>
  </si>
  <si>
    <t>INV-1542</t>
  </si>
  <si>
    <t>INV-1543</t>
  </si>
  <si>
    <t>INV-1544</t>
  </si>
  <si>
    <t>INV-1545</t>
  </si>
  <si>
    <t>INV-1546</t>
  </si>
  <si>
    <t>INV-1547</t>
  </si>
  <si>
    <t>INV-1548</t>
  </si>
  <si>
    <t>INV-1549</t>
  </si>
  <si>
    <t>INV-1550</t>
  </si>
  <si>
    <t>INV-1551</t>
  </si>
  <si>
    <t>INV-1552</t>
  </si>
  <si>
    <t>INV-1553</t>
  </si>
  <si>
    <t>INV-1554</t>
  </si>
  <si>
    <t>INV-1555</t>
  </si>
  <si>
    <t>INV-1556</t>
  </si>
  <si>
    <t>INV-1557</t>
  </si>
  <si>
    <t>INV-1558</t>
  </si>
  <si>
    <t>INV-1559</t>
  </si>
  <si>
    <t>INV-1560</t>
  </si>
  <si>
    <t>INV-1561</t>
  </si>
  <si>
    <t>INV-1562</t>
  </si>
  <si>
    <t>INV-1563</t>
  </si>
  <si>
    <t>INV-1564</t>
  </si>
  <si>
    <t>INV-1565</t>
  </si>
  <si>
    <t>INV-1566</t>
  </si>
  <si>
    <t>INV-1567</t>
  </si>
  <si>
    <t>INV-1568</t>
  </si>
  <si>
    <t>INV-1569</t>
  </si>
  <si>
    <t>INV-1570</t>
  </si>
  <si>
    <t>INV-1571</t>
  </si>
  <si>
    <t>INV-1572</t>
  </si>
  <si>
    <t>INV-1573</t>
  </si>
  <si>
    <t>INV-1574</t>
  </si>
  <si>
    <t>INV-1575</t>
  </si>
  <si>
    <t>INV-1576</t>
  </si>
  <si>
    <t>INV-1577</t>
  </si>
  <si>
    <t>INV-1578</t>
  </si>
  <si>
    <t>INV-1579</t>
  </si>
  <si>
    <t>INV-1580</t>
  </si>
  <si>
    <t>INV-1581</t>
  </si>
  <si>
    <t>INV-1582</t>
  </si>
  <si>
    <t>INV-1583</t>
  </si>
  <si>
    <t>INV-1584</t>
  </si>
  <si>
    <t>INV-1585</t>
  </si>
  <si>
    <t>INV-1586</t>
  </si>
  <si>
    <t>INV-1587</t>
  </si>
  <si>
    <t>INV-1588</t>
  </si>
  <si>
    <t>INV-1589</t>
  </si>
  <si>
    <t>INV-1590</t>
  </si>
  <si>
    <t>INV-1591</t>
  </si>
  <si>
    <t>INV-1592</t>
  </si>
  <si>
    <t>INV-1593</t>
  </si>
  <si>
    <t>INV-1594</t>
  </si>
  <si>
    <t>CN-1740</t>
  </si>
  <si>
    <t>INV-1595</t>
  </si>
  <si>
    <t>INV-1596</t>
  </si>
  <si>
    <t>INV-1597</t>
  </si>
  <si>
    <t>INV-1598</t>
  </si>
  <si>
    <t>INV-1599</t>
  </si>
  <si>
    <t>INV-1600</t>
  </si>
  <si>
    <t>INV-1601</t>
  </si>
  <si>
    <t>INV-1602</t>
  </si>
  <si>
    <t>INV-1603</t>
  </si>
  <si>
    <t>INV-1604</t>
  </si>
  <si>
    <t>INV-1605</t>
  </si>
  <si>
    <t>INV-1606</t>
  </si>
  <si>
    <t>CN-1736</t>
  </si>
  <si>
    <t>INV-1607</t>
  </si>
  <si>
    <t>INV-1608</t>
  </si>
  <si>
    <t>INV-1609</t>
  </si>
  <si>
    <t>INV-1610</t>
  </si>
  <si>
    <t>INV-1611</t>
  </si>
  <si>
    <t>INV-1612</t>
  </si>
  <si>
    <t>INV-1613</t>
  </si>
  <si>
    <t>INV-1614</t>
  </si>
  <si>
    <t>INV-1615</t>
  </si>
  <si>
    <t>INV-1616</t>
  </si>
  <si>
    <t>INV-1617</t>
  </si>
  <si>
    <t>INV-1618</t>
  </si>
  <si>
    <t>INV-1619</t>
  </si>
  <si>
    <t>INV-1620</t>
  </si>
  <si>
    <t>INV-1621</t>
  </si>
  <si>
    <t>INV-1622</t>
  </si>
  <si>
    <t>INV-1623</t>
  </si>
  <si>
    <t>INV-1624</t>
  </si>
  <si>
    <t>INV-1625</t>
  </si>
  <si>
    <t>INV-1626</t>
  </si>
  <si>
    <t>CN-1745</t>
  </si>
  <si>
    <t>INV-1627</t>
  </si>
  <si>
    <t>INV-1628</t>
  </si>
  <si>
    <t>INV-1629</t>
  </si>
  <si>
    <t>INV-1630</t>
  </si>
  <si>
    <t>INV-1631</t>
  </si>
  <si>
    <t>INV-1632</t>
  </si>
  <si>
    <t>INV-1633</t>
  </si>
  <si>
    <t>INV-1634</t>
  </si>
  <si>
    <t>INV-1635</t>
  </si>
  <si>
    <t>INV-1636</t>
  </si>
  <si>
    <t>INV-1637</t>
  </si>
  <si>
    <t>INV-1638</t>
  </si>
  <si>
    <t>INV-1639</t>
  </si>
  <si>
    <t>INV-1640</t>
  </si>
  <si>
    <t>INV-1641</t>
  </si>
  <si>
    <t>INV-1642</t>
  </si>
  <si>
    <t>INV-1643</t>
  </si>
  <si>
    <t>INV-1644</t>
  </si>
  <si>
    <t>INV-1645</t>
  </si>
  <si>
    <t>INV-1646</t>
  </si>
  <si>
    <t>INV-1647</t>
  </si>
  <si>
    <t>INV-1648</t>
  </si>
  <si>
    <t>CN-1733</t>
  </si>
  <si>
    <t>INV-1649</t>
  </si>
  <si>
    <t>INV-1650</t>
  </si>
  <si>
    <t>INV-1651</t>
  </si>
  <si>
    <t>INV-1652</t>
  </si>
  <si>
    <t>INV-1653</t>
  </si>
  <si>
    <t>INV-1654</t>
  </si>
  <si>
    <t>INV-1655</t>
  </si>
  <si>
    <t>INV-1656</t>
  </si>
  <si>
    <t>INV-1657</t>
  </si>
  <si>
    <t>INV-1658</t>
  </si>
  <si>
    <t>INV-1659</t>
  </si>
  <si>
    <t>INV-1660</t>
  </si>
  <si>
    <t>INV-1661</t>
  </si>
  <si>
    <t>INV-1662</t>
  </si>
  <si>
    <t>INV-1663</t>
  </si>
  <si>
    <t>INV-1664</t>
  </si>
  <si>
    <t>INV-1665</t>
  </si>
  <si>
    <t>INV-1666</t>
  </si>
  <si>
    <t>CN-1734</t>
  </si>
  <si>
    <t>INV-1667</t>
  </si>
  <si>
    <t>INV-1668</t>
  </si>
  <si>
    <t>INV-1669</t>
  </si>
  <si>
    <t>CN-1746</t>
  </si>
  <si>
    <t>INV-1670</t>
  </si>
  <si>
    <t>INV-1671</t>
  </si>
  <si>
    <t>INV-1672</t>
  </si>
  <si>
    <t>INV-1673</t>
  </si>
  <si>
    <t>INV-1674</t>
  </si>
  <si>
    <t>CN-1738</t>
  </si>
  <si>
    <t>INV-1675</t>
  </si>
  <si>
    <t>INV-1676</t>
  </si>
  <si>
    <t>INV-1677</t>
  </si>
  <si>
    <t>INV-1678</t>
  </si>
  <si>
    <t>INV-1679</t>
  </si>
  <si>
    <t>INV-1680</t>
  </si>
  <si>
    <t>INV-1681</t>
  </si>
  <si>
    <t>INV-1682</t>
  </si>
  <si>
    <t>INV-1683</t>
  </si>
  <si>
    <t>INV-1684</t>
  </si>
  <si>
    <t>INV-1685</t>
  </si>
  <si>
    <t>INV-1686</t>
  </si>
  <si>
    <t>INV-1687</t>
  </si>
  <si>
    <t>INV-1688</t>
  </si>
  <si>
    <t>INV-1689</t>
  </si>
  <si>
    <t>INV-1690</t>
  </si>
  <si>
    <t>INV-1691</t>
  </si>
  <si>
    <t>INV-1692</t>
  </si>
  <si>
    <t>INV-1693</t>
  </si>
  <si>
    <t>INV-1694</t>
  </si>
  <si>
    <t>INV-1695</t>
  </si>
  <si>
    <t>INV-1696</t>
  </si>
  <si>
    <t>INV-1697</t>
  </si>
  <si>
    <t>INV-1698</t>
  </si>
  <si>
    <t>INV-1699</t>
  </si>
  <si>
    <t>INV-1700</t>
  </si>
  <si>
    <t>INV-1701</t>
  </si>
  <si>
    <t>INV-1702</t>
  </si>
  <si>
    <t>INV-1703</t>
  </si>
  <si>
    <t>INV-1704</t>
  </si>
  <si>
    <t>INV-1705</t>
  </si>
  <si>
    <t>INV-1706</t>
  </si>
  <si>
    <t>INV-1707</t>
  </si>
  <si>
    <t>INV-1708</t>
  </si>
  <si>
    <t>INV-1709</t>
  </si>
  <si>
    <t>INV-1710</t>
  </si>
  <si>
    <t>INV-1711</t>
  </si>
  <si>
    <t>INV-1712</t>
  </si>
  <si>
    <t>INV-1713</t>
  </si>
  <si>
    <t>INV-1714</t>
  </si>
  <si>
    <t>INV-1715</t>
  </si>
  <si>
    <t>INV-1716</t>
  </si>
  <si>
    <t>INV-1717</t>
  </si>
  <si>
    <t>INV-1718</t>
  </si>
  <si>
    <t>INV-1719</t>
  </si>
  <si>
    <t>INV-1720</t>
  </si>
  <si>
    <t>INV-1721</t>
  </si>
  <si>
    <t>INV-1722</t>
  </si>
  <si>
    <t>INV-1723</t>
  </si>
  <si>
    <t>INV-1724</t>
  </si>
  <si>
    <t>INV-1725</t>
  </si>
  <si>
    <t>INV-1726</t>
  </si>
  <si>
    <t>INV-1727</t>
  </si>
  <si>
    <t>INV-1728</t>
  </si>
  <si>
    <t>INV-1729</t>
  </si>
  <si>
    <t>INV-1730</t>
  </si>
  <si>
    <t>INV-1731</t>
  </si>
  <si>
    <t>Invoice No</t>
  </si>
  <si>
    <t>Invoice Date</t>
  </si>
  <si>
    <t>Customer</t>
  </si>
  <si>
    <t>Segment</t>
  </si>
  <si>
    <t>Terms (Days)</t>
  </si>
  <si>
    <t>Due Date</t>
  </si>
  <si>
    <t>Net (SAR)</t>
  </si>
  <si>
    <t>VAT (SAR)</t>
  </si>
  <si>
    <t>Total (SAR)</t>
  </si>
  <si>
    <t>Status</t>
  </si>
  <si>
    <t>Paid Date</t>
  </si>
  <si>
    <t>Doc Type</t>
  </si>
  <si>
    <t>Days Late</t>
  </si>
  <si>
    <t>Data Check</t>
  </si>
  <si>
    <t>Invoice Register</t>
  </si>
  <si>
    <t>Invoice Summary Dashboard</t>
  </si>
  <si>
    <t>Total Billed</t>
  </si>
  <si>
    <t>Collected</t>
  </si>
  <si>
    <t>Outstanding (Open)</t>
  </si>
  <si>
    <t>Credit Notes</t>
  </si>
  <si>
    <t>Avg Days Late (Paid)</t>
  </si>
  <si>
    <t>Rows Flagged</t>
  </si>
  <si>
    <t># Invoices</t>
  </si>
  <si>
    <t>Billed</t>
  </si>
  <si>
    <t>Outstanding</t>
  </si>
  <si>
    <t>% of Billed</t>
  </si>
  <si>
    <t>Avg Days Late</t>
  </si>
  <si>
    <t>Total</t>
  </si>
  <si>
    <t>Month</t>
  </si>
  <si>
    <t>By Customer</t>
  </si>
  <si>
    <t>By Segment</t>
  </si>
  <si>
    <t>By Month (Invoice Date)</t>
  </si>
  <si>
    <t>Monthly Billed vs Collected</t>
  </si>
  <si>
    <t>Notes: Billed = invoices only (excl. credit notes). 'Rows Flagged' counts duplicate invoice rows and rows missing VAT — see the Data Check column on the Invoices sheet. Duplicates are still included in totals.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</si>
</sst>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-mmm\-yyyy"/>
    <numFmt numFmtId="165" formatCode="#,##0.00;\(#,##0.00\);\-"/>
    <numFmt numFmtId="166" formatCode="0;\-0;\-"/>
    <numFmt numFmtId="167" formatCode="#,##0;\(#,##0\);\-"/>
    <numFmt numFmtId="168" formatCode="0.0\ &quot;days&quot;"/>
    <numFmt numFmtId="169" formatCode="0.0%"/>
    <numFmt numFmtId="170" formatCode="0.0"/>
    <numFmt numFmtId="171" formatCode="mmm\-yyyy"/>
  </numFmts>
  <fonts count="3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1"/>
      <name val="Arial"/>
      <scheme val="minor"/>
    </font>
    <font>
      <b/>
      <sz val="18"/>
      <color rgb="FF1F3864"/>
      <name val="Arial"/>
      <scheme val="minor"/>
    </font>
    <font>
      <sz val="10"/>
      <color rgb="FF595959"/>
      <name val="Arial"/>
      <scheme val="minor"/>
    </font>
    <font>
      <i/>
      <sz val="10"/>
      <color rgb="FF595959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rgb="FF1F3864"/>
      <name val="Arial"/>
      <scheme val="minor"/>
    </font>
    <font>
      <b/>
      <sz val="20"/>
      <color rgb="FF1F3864"/>
      <name val="Arial"/>
      <scheme val="minor"/>
    </font>
    <font>
      <b/>
      <sz val="9"/>
      <color rgb="FFFFFFFF"/>
      <name val="Arial"/>
      <scheme val="minor"/>
    </font>
    <font>
      <b/>
      <sz val="15"/>
      <color rgb="FF1F3864"/>
      <name val="Arial"/>
      <scheme val="minor"/>
    </font>
    <font>
      <b/>
      <sz val="15"/>
      <color rgb="FFC00000"/>
      <name val="Arial"/>
      <scheme val="minor"/>
    </font>
    <font>
      <b/>
      <sz val="15"/>
      <color rgb="FFBF8F00"/>
      <name val="Arial"/>
      <scheme val="minor"/>
    </font>
    <font>
      <b/>
      <sz val="12"/>
      <color rgb="FF1F3864"/>
      <name val="Arial"/>
      <scheme val="minor"/>
    </font>
    <font>
      <i/>
      <sz val="9"/>
      <color rgb="FF7F7F7F"/>
      <name val="Arial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rgb="FFDDE3EE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1F3864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 style="thick">
        <color rgb="FFC9A227"/>
      </bottom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thick">
        <color rgb="FFFFFFFF"/>
      </left>
      <right/>
      <top/>
      <bottom style="thick">
        <color rgb="FFC9A227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1F3864"/>
      </top>
      <bottom style="double">
        <color rgb="FF1F38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9">
    <xf numFmtId="0" fontId="0" fillId="0" borderId="0" xfId="0"/>
    <xf numFmtId="0" fontId="18" fillId="0" borderId="0" xfId="0" applyFont="1"/>
    <xf numFmtId="0" fontId="19" fillId="0" borderId="0" xfId="0" applyFont="1"/>
    <xf numFmtId="0" fontId="21" fillId="0" borderId="0" xfId="0" applyFont="1"/>
    <xf numFmtId="0" fontId="18" fillId="0" borderId="10" xfId="0" applyFont="1" applyBorder="1"/>
    <xf numFmtId="0" fontId="23" fillId="33" borderId="0" xfId="0" applyFont="1" applyFill="1" applyAlignment="1">
      <alignment horizontal="center" vertical="center" wrapText="1"/>
    </xf>
    <xf numFmtId="0" fontId="24" fillId="0" borderId="0" xfId="0" applyFont="1" applyAlignment="1">
      <alignment vertical="center"/>
    </xf>
    <xf numFmtId="16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65" fontId="18" fillId="0" borderId="0" xfId="0" applyNumberFormat="1" applyFont="1" applyAlignment="1">
      <alignment vertical="center"/>
    </xf>
    <xf numFmtId="166" fontId="18" fillId="0" borderId="0" xfId="0" applyNumberFormat="1" applyFont="1" applyAlignment="1">
      <alignment horizontal="center" vertical="center"/>
    </xf>
    <xf numFmtId="0" fontId="25" fillId="0" borderId="0" xfId="0" applyFont="1"/>
    <xf numFmtId="0" fontId="26" fillId="33" borderId="11" xfId="0" applyFont="1" applyFill="1" applyBorder="1" applyAlignment="1">
      <alignment horizontal="center" vertical="center" wrapText="1"/>
    </xf>
    <xf numFmtId="0" fontId="26" fillId="33" borderId="13" xfId="0" applyFont="1" applyFill="1" applyBorder="1" applyAlignment="1">
      <alignment horizontal="center" vertical="center" wrapText="1"/>
    </xf>
    <xf numFmtId="167" fontId="27" fillId="34" borderId="14" xfId="0" applyNumberFormat="1" applyFont="1" applyFill="1" applyBorder="1" applyAlignment="1">
      <alignment horizontal="center" vertical="center"/>
    </xf>
    <xf numFmtId="167" fontId="29" fillId="34" borderId="14" xfId="0" applyNumberFormat="1" applyFont="1" applyFill="1" applyBorder="1" applyAlignment="1">
      <alignment horizontal="center" vertical="center"/>
    </xf>
    <xf numFmtId="168" fontId="27" fillId="34" borderId="14" xfId="0" applyNumberFormat="1" applyFont="1" applyFill="1" applyBorder="1" applyAlignment="1">
      <alignment horizontal="center" vertical="center"/>
    </xf>
    <xf numFmtId="1" fontId="28" fillId="34" borderId="12" xfId="0" applyNumberFormat="1" applyFont="1" applyFill="1" applyBorder="1" applyAlignment="1">
      <alignment horizontal="center" vertical="center"/>
    </xf>
    <xf numFmtId="0" fontId="30" fillId="0" borderId="0" xfId="0" applyFont="1"/>
    <xf numFmtId="0" fontId="23" fillId="33" borderId="0" xfId="0" applyFont="1" applyFill="1" applyAlignment="1">
      <alignment horizontal="left" vertical="center" wrapText="1"/>
    </xf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/>
    <xf numFmtId="0" fontId="22" fillId="35" borderId="18" xfId="0" applyFont="1" applyFill="1" applyBorder="1"/>
    <xf numFmtId="167" fontId="18" fillId="0" borderId="15" xfId="0" applyNumberFormat="1" applyFont="1" applyBorder="1"/>
    <xf numFmtId="167" fontId="18" fillId="0" borderId="16" xfId="0" applyNumberFormat="1" applyFont="1" applyBorder="1"/>
    <xf numFmtId="167" fontId="18" fillId="0" borderId="17" xfId="0" applyNumberFormat="1" applyFont="1" applyBorder="1"/>
    <xf numFmtId="167" fontId="22" fillId="35" borderId="18" xfId="0" applyNumberFormat="1" applyFont="1" applyFill="1" applyBorder="1"/>
    <xf numFmtId="3" fontId="18" fillId="0" borderId="15" xfId="0" applyNumberFormat="1" applyFont="1" applyBorder="1" applyAlignment="1">
      <alignment horizontal="center"/>
    </xf>
    <xf numFmtId="3" fontId="18" fillId="0" borderId="16" xfId="0" applyNumberFormat="1" applyFont="1" applyBorder="1" applyAlignment="1">
      <alignment horizontal="center"/>
    </xf>
    <xf numFmtId="3" fontId="18" fillId="0" borderId="17" xfId="0" applyNumberFormat="1" applyFont="1" applyBorder="1" applyAlignment="1">
      <alignment horizontal="center"/>
    </xf>
    <xf numFmtId="0" fontId="22" fillId="35" borderId="18" xfId="0" applyFont="1" applyFill="1" applyBorder="1" applyAlignment="1">
      <alignment horizontal="center"/>
    </xf>
    <xf numFmtId="3" fontId="22" fillId="35" borderId="18" xfId="0" applyNumberFormat="1" applyFont="1" applyFill="1" applyBorder="1" applyAlignment="1">
      <alignment horizontal="center"/>
    </xf>
    <xf numFmtId="169" fontId="18" fillId="0" borderId="15" xfId="0" applyNumberFormat="1" applyFont="1" applyBorder="1" applyAlignment="1">
      <alignment horizontal="center"/>
    </xf>
    <xf numFmtId="170" fontId="18" fillId="0" borderId="15" xfId="0" applyNumberFormat="1" applyFont="1" applyBorder="1" applyAlignment="1">
      <alignment horizontal="center"/>
    </xf>
    <xf numFmtId="169" fontId="18" fillId="0" borderId="16" xfId="0" applyNumberFormat="1" applyFont="1" applyBorder="1" applyAlignment="1">
      <alignment horizontal="center"/>
    </xf>
    <xf numFmtId="170" fontId="18" fillId="0" borderId="16" xfId="0" applyNumberFormat="1" applyFont="1" applyBorder="1" applyAlignment="1">
      <alignment horizontal="center"/>
    </xf>
    <xf numFmtId="169" fontId="18" fillId="0" borderId="17" xfId="0" applyNumberFormat="1" applyFont="1" applyBorder="1" applyAlignment="1">
      <alignment horizontal="center"/>
    </xf>
    <xf numFmtId="170" fontId="18" fillId="0" borderId="17" xfId="0" applyNumberFormat="1" applyFont="1" applyBorder="1" applyAlignment="1">
      <alignment horizontal="center"/>
    </xf>
    <xf numFmtId="169" fontId="22" fillId="35" borderId="18" xfId="0" applyNumberFormat="1" applyFont="1" applyFill="1" applyBorder="1" applyAlignment="1">
      <alignment horizontal="center"/>
    </xf>
    <xf numFmtId="170" fontId="22" fillId="35" borderId="18" xfId="0" applyNumberFormat="1" applyFont="1" applyFill="1" applyBorder="1" applyAlignment="1">
      <alignment horizontal="center"/>
    </xf>
    <xf numFmtId="171" fontId="18" fillId="0" borderId="15" xfId="0" applyNumberFormat="1" applyFont="1" applyBorder="1" applyAlignment="1">
      <alignment horizontal="left"/>
    </xf>
    <xf numFmtId="171" fontId="18" fillId="0" borderId="16" xfId="0" applyNumberFormat="1" applyFont="1" applyBorder="1" applyAlignment="1">
      <alignment horizontal="left"/>
    </xf>
    <xf numFmtId="171" fontId="18" fillId="0" borderId="17" xfId="0" applyNumberFormat="1" applyFont="1" applyBorder="1" applyAlignment="1">
      <alignment horizontal="left"/>
    </xf>
    <xf numFmtId="0" fontId="20" fillId="0" borderId="15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3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ont>
        <color rgb="FFA6A6A6"/>
      </font>
    </dxf>
    <dxf>
      <font>
        <b/>
        <i val="0"/>
        <color rgb="FFC55A11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8CBAD"/>
        </patternFill>
      </fill>
    </dxf>
    <dxf>
      <font>
        <b/>
        <i val="0"/>
        <color rgb="FFC00000"/>
      </font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375623"/>
      </font>
      <fill>
        <patternFill patternType="solid">
          <fgColor indexed="64"/>
          <bgColor rgb="FFE2EFDA"/>
        </patternFill>
      </fill>
    </dxf>
    <dxf>
      <font>
        <color rgb="FFC00000"/>
      </font>
    </dxf>
    <dxf>
      <font>
        <b/>
        <i val="0"/>
        <color rgb="FFC00000"/>
      </font>
    </dxf>
    <dxf>
      <font>
        <b/>
        <i val="0"/>
        <color rgb="FFBF8F00"/>
      </font>
    </dxf>
    <dxf>
      <font>
        <sz val="10"/>
        <name val="Arial"/>
      </font>
      <numFmt numFmtId="0" formatCode="General"/>
      <alignment horizontal="center" vertical="center"/>
    </dxf>
    <dxf>
      <font>
        <sz val="10"/>
        <name val="Arial"/>
      </font>
      <numFmt numFmtId="166" formatCode="0;\-0;\-"/>
      <alignment horizontal="center" vertical="center"/>
    </dxf>
    <dxf>
      <font>
        <sz val="10"/>
        <name val="Arial"/>
      </font>
      <alignment horizontal="center" vertical="center"/>
    </dxf>
    <dxf>
      <font>
        <sz val="10"/>
        <name val="Arial"/>
      </font>
      <numFmt numFmtId="164" formatCode="dd\-mmm\-yyyy"/>
      <alignment horizontal="center" vertical="center"/>
    </dxf>
    <dxf>
      <font>
        <sz val="10"/>
        <name val="Arial"/>
      </font>
      <alignment horizontal="center" vertical="center"/>
    </dxf>
    <dxf>
      <font>
        <sz val="10"/>
        <name val="Arial"/>
      </font>
      <numFmt numFmtId="165" formatCode="#,##0.00;\(#,##0.00\);\-"/>
      <alignment vertical="center"/>
    </dxf>
    <dxf>
      <font>
        <sz val="10"/>
        <name val="Arial"/>
      </font>
      <numFmt numFmtId="165" formatCode="#,##0.00;\(#,##0.00\);\-"/>
      <alignment vertical="center"/>
    </dxf>
    <dxf>
      <font>
        <sz val="10"/>
        <name val="Arial"/>
      </font>
      <numFmt numFmtId="165" formatCode="#,##0.00;\(#,##0.00\);\-"/>
      <alignment vertical="center"/>
    </dxf>
    <dxf>
      <font>
        <sz val="10"/>
        <name val="Arial"/>
      </font>
      <numFmt numFmtId="164" formatCode="dd\-mmm\-yyyy"/>
      <alignment horizontal="center" vertical="center"/>
    </dxf>
    <dxf>
      <font>
        <sz val="10"/>
        <name val="Arial"/>
      </font>
      <alignment horizontal="center" vertical="center"/>
    </dxf>
    <dxf>
      <font>
        <sz val="10"/>
        <name val="Arial"/>
      </font>
      <alignment vertical="center"/>
    </dxf>
    <dxf>
      <font>
        <sz val="10"/>
        <name val="Arial"/>
      </font>
      <alignment vertical="center"/>
    </dxf>
    <dxf>
      <font>
        <sz val="10"/>
        <name val="Arial"/>
      </font>
      <numFmt numFmtId="164" formatCode="dd\-mmm\-yyyy"/>
      <alignment horizontal="center" vertical="center"/>
    </dxf>
    <dxf>
      <font>
        <sz val="10"/>
        <color rgb="FF1F3864"/>
        <name val="Arial"/>
      </font>
      <alignment vertical="center"/>
    </dxf>
    <dxf>
      <font>
        <sz val="10"/>
        <name val="Arial"/>
      </font>
      <alignment vertical="center"/>
    </dxf>
    <dxf>
      <font>
        <b/>
        <sz val="10"/>
        <color rgb="FFFFFFFF"/>
        <name val="Arial"/>
      </font>
      <fill>
        <patternFill patternType="solid">
          <fgColor indexed="64"/>
          <bgColor rgb="FF1F3864"/>
        </patternFill>
      </fill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Billed vs Collected (SAR)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Summary!$M$20</c:f>
              <c:strCache>
                <c:ptCount val="1"/>
                <c:pt idx="0">
                  <c:v>Billed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numRef>
              <c:f>Summary!$L$21:$L$32</c:f>
              <c:numCache>
                <c:formatCode>mmm\-yyyy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Summary!$M$21:$M$32</c:f>
              <c:numCache>
                <c:formatCode>#,##0;\(#,##0\);\-</c:formatCode>
                <c:ptCount val="12"/>
                <c:pt idx="0">
                  <c:v>521369.88</c:v>
                </c:pt>
                <c:pt idx="1">
                  <c:v>439977.15000000008</c:v>
                </c:pt>
                <c:pt idx="2">
                  <c:v>431595.87000000005</c:v>
                </c:pt>
                <c:pt idx="3">
                  <c:v>424265.79999999987</c:v>
                </c:pt>
                <c:pt idx="4">
                  <c:v>568182.50999999989</c:v>
                </c:pt>
                <c:pt idx="5">
                  <c:v>617752.46999999986</c:v>
                </c:pt>
                <c:pt idx="6">
                  <c:v>565428.25999999978</c:v>
                </c:pt>
                <c:pt idx="7">
                  <c:v>418318.91</c:v>
                </c:pt>
                <c:pt idx="8">
                  <c:v>514008.14999999997</c:v>
                </c:pt>
                <c:pt idx="9">
                  <c:v>324658.26000000013</c:v>
                </c:pt>
                <c:pt idx="10">
                  <c:v>452221.47000000003</c:v>
                </c:pt>
                <c:pt idx="11">
                  <c:v>470019.92999999993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2-4A4D-A74C-F6F706BB585B}"/>
            </c:ext>
          </c:extLst>
        </c:ser>
        <c:ser>
          <c:idx val="1"/>
          <c:order val="1"/>
          <c:tx>
            <c:strRef>
              <c:f>Summary!$N$20</c:f>
              <c:strCache>
                <c:ptCount val="1"/>
                <c:pt idx="0">
                  <c:v>Collected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  <a:effectLst/>
          </c:spPr>
          <c:invertIfNegative val="0"/>
          <c:cat>
            <c:numRef>
              <c:f>Summary!$L$21:$L$32</c:f>
              <c:numCache>
                <c:formatCode>mmm\-yyyy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Summary!$N$21:$N$32</c:f>
              <c:numCache>
                <c:formatCode>#,##0;\(#,##0\);\-</c:formatCode>
                <c:ptCount val="12"/>
                <c:pt idx="0">
                  <c:v>521369.88</c:v>
                </c:pt>
                <c:pt idx="1">
                  <c:v>439977.15000000008</c:v>
                </c:pt>
                <c:pt idx="2">
                  <c:v>431595.87000000005</c:v>
                </c:pt>
                <c:pt idx="3">
                  <c:v>424265.79999999987</c:v>
                </c:pt>
                <c:pt idx="4">
                  <c:v>568182.50999999989</c:v>
                </c:pt>
                <c:pt idx="5">
                  <c:v>617752.46999999986</c:v>
                </c:pt>
                <c:pt idx="6">
                  <c:v>565428.25999999978</c:v>
                </c:pt>
                <c:pt idx="7">
                  <c:v>400535.87999999995</c:v>
                </c:pt>
                <c:pt idx="8">
                  <c:v>514008.14999999997</c:v>
                </c:pt>
                <c:pt idx="9">
                  <c:v>320076.19000000006</c:v>
                </c:pt>
                <c:pt idx="10">
                  <c:v>377788.47000000003</c:v>
                </c:pt>
                <c:pt idx="11">
                  <c:v>58581.91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F2-4A4D-A74C-F6F706BB5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313521103"/>
        <c:axId val="313518703"/>
      </c:barChart>
      <c:dateAx>
        <c:axId val="313521103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313518703"/>
        <c:crosses val="autoZero"/>
        <c:auto val="1"/>
        <c:lblOffset val="100"/>
        <c:baseTimeUnit val="months"/>
      </c:dateAx>
      <c:valAx>
        <c:axId val="31351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7E6E6"/>
              </a:solidFill>
              <a:prstDash val="solid"/>
              <a:round/>
            </a:ln>
            <a:effectLst/>
          </c:spPr>
        </c:majorGridlines>
        <c:numFmt formatCode="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31352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0</xdr:rowOff>
    </xdr:from>
    <xdr:to>
      <xdr:col>10</xdr:col>
      <xdr:colOff>0</xdr:colOff>
      <xdr:row>50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E3011B-3612-D64A-CE4D-0BAAA73C1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9BD990-0850-4968-A6B1-041BF6A82B03}" name="Invoices" displayName="Invoices" ref="A4:N752" totalsRowShown="0" headerRowDxfId="25" dataDxfId="24">
  <autoFilter ref="A4:N752" xr:uid="{979BD990-0850-4968-A6B1-041BF6A82B03}"/>
  <tableColumns count="14">
    <tableColumn id="1" xr3:uid="{B262E4F3-DBB4-4D30-8382-F721F9ED4552}" name="Invoice No" dataDxfId="23"/>
    <tableColumn id="2" xr3:uid="{C014F42F-F14D-4466-8A94-B85C99D43270}" name="Invoice Date" dataDxfId="22"/>
    <tableColumn id="3" xr3:uid="{BF72C46D-D3E8-4B9D-AFF1-7BF5C1D079B2}" name="Customer" dataDxfId="21"/>
    <tableColumn id="4" xr3:uid="{3AD8A61F-BF4D-442D-9901-BF6F33F4B870}" name="Segment" dataDxfId="20"/>
    <tableColumn id="5" xr3:uid="{C283783B-581B-4D50-AE8F-B21E53362880}" name="Terms (Days)" dataDxfId="19"/>
    <tableColumn id="6" xr3:uid="{EC102B6E-0DE2-46EE-8945-4A7061B72A1F}" name="Due Date" dataDxfId="18"/>
    <tableColumn id="7" xr3:uid="{2C2C9563-FA43-43F6-920C-C5EB64347E40}" name="Net (SAR)" dataDxfId="17"/>
    <tableColumn id="8" xr3:uid="{627C9076-8714-40FE-81CE-E9F555677FA1}" name="VAT (SAR)" dataDxfId="16"/>
    <tableColumn id="9" xr3:uid="{97F851C0-A383-4DC0-AEF4-04C6FD92DC51}" name="Total (SAR)" dataDxfId="15"/>
    <tableColumn id="10" xr3:uid="{7F6259C0-D6D9-424E-9DC3-54CF946A6D18}" name="Status" dataDxfId="14"/>
    <tableColumn id="11" xr3:uid="{468114C7-203A-4556-BA78-84EF302CF40B}" name="Paid Date" dataDxfId="13"/>
    <tableColumn id="12" xr3:uid="{7FE7568B-873D-480C-AFC5-EB1D8378F9BA}" name="Doc Type" dataDxfId="12"/>
    <tableColumn id="13" xr3:uid="{E4748049-794B-4A15-A6B6-4C31A51BFE75}" name="Days Late" dataDxfId="11">
      <calculatedColumnFormula array="1">IF(Invoices[[#This Row],[Status]]="Open",MAX(0,AsOf-Invoices[[#This Row],[Due Date]]),IF(Invoices[[#This Row],[Paid Date]]="","",MAX(0,Invoices[[#This Row],[Paid Date]]-Invoices[[#This Row],[Due Date]])))</calculatedColumnFormula>
    </tableColumn>
    <tableColumn id="14" xr3:uid="{6F24B911-7E47-4E11-9297-F8110BAF97CD}" name="Data Check" dataDxfId="10">
      <calculatedColumnFormula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2C8B197-D7B3-4BDD-B4FE-671E424E9A3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6c7844d-0bed-40d2-b67b-0098f6a7b5a2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F6DE16C7-C78C-4367-9698-80C04F1E185C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273bdf18-0c2f-4d56-aa49-adae659253a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6A37-E2FC-4AF5-8D32-7DB10EA6C4FE}">
  <sheetPr>
    <tabColor rgb="FFC9A227"/>
  </sheetPr>
  <dimension ref="A1:Q60"/>
  <sheetViews>
    <sheetView showGridLines="0" topLeftCell="A14" workbookViewId="0"/>
  </sheetViews>
  <sheetFormatPr defaultRowHeight="14.25" x14ac:dyDescent="0.2"/>
  <cols>
    <col min="1" max="1" width="2.5" customWidth="1"/>
    <col min="2" max="2" width="25" customWidth="1"/>
    <col min="3" max="10" width="14.625" customWidth="1"/>
    <col min="11" max="11" width="3.375" customWidth="1"/>
    <col min="12" max="12" width="15" customWidth="1"/>
    <col min="13" max="16" width="14.125" customWidth="1"/>
  </cols>
  <sheetData>
    <row r="1" spans="1:1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2.1" customHeight="1" x14ac:dyDescent="0.4">
      <c r="A2" s="1"/>
      <c r="B2" s="12" t="s">
        <v>796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">
      <c r="A3" s="1"/>
      <c r="B3" s="3" t="str">
        <f>"Period: "&amp;TEXT(MIN(Invoices[Invoice Date]),"dd-mmm-yyyy")&amp;" to "&amp;TEXT(MAX(Invoices[Invoice Date]),"dd-mmm-yyyy")&amp;"   |   All amounts in SAR (incl. VAT)"</f>
        <v>Period: 01-Oct-2025 to 29-Sep-2026   |   All amounts in SAR (incl. VAT)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" thickBo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7.95" customHeight="1" thickTop="1" x14ac:dyDescent="0.2">
      <c r="A5" s="1"/>
      <c r="B5" s="14" t="s">
        <v>797</v>
      </c>
      <c r="C5" s="14" t="s">
        <v>798</v>
      </c>
      <c r="D5" s="14" t="s">
        <v>799</v>
      </c>
      <c r="E5" s="14" t="s">
        <v>800</v>
      </c>
      <c r="F5" s="14" t="s">
        <v>801</v>
      </c>
      <c r="G5" s="13" t="s">
        <v>802</v>
      </c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36" customHeight="1" thickBot="1" x14ac:dyDescent="0.25">
      <c r="A6" s="1"/>
      <c r="B6" s="15">
        <f>SUMIFS(Invoices[Total (SAR)],Invoices[Doc Type],"Invoice")</f>
        <v>5747798.6600000076</v>
      </c>
      <c r="C6" s="15">
        <f>SUMIFS(Invoices[Total (SAR)],Invoices[Status],"Paid")</f>
        <v>5239562.5400000066</v>
      </c>
      <c r="D6" s="16">
        <f>SUMIFS(Invoices[Total (SAR)],Invoices[Status],"Open")</f>
        <v>508236.11999999976</v>
      </c>
      <c r="E6" s="15">
        <f>SUMIFS(Invoices[Total (SAR)],Invoices[Doc Type],"Credit note")</f>
        <v>-99251.14</v>
      </c>
      <c r="F6" s="17">
        <f>AVERAGEIFS(Invoices[Days Late],Invoices[Status],"Paid")</f>
        <v>6.5</v>
      </c>
      <c r="G6" s="18">
        <f>COUNTIF(Invoices[Data Check],"&lt;&gt;OK")</f>
        <v>11</v>
      </c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24" customHeight="1" thickTop="1" x14ac:dyDescent="0.25">
      <c r="A7" s="1"/>
      <c r="B7" s="19" t="s">
        <v>810</v>
      </c>
      <c r="C7" s="1"/>
      <c r="D7" s="1"/>
      <c r="E7" s="1"/>
      <c r="F7" s="1"/>
      <c r="G7" s="1"/>
      <c r="H7" s="1"/>
      <c r="I7" s="1"/>
      <c r="J7" s="1"/>
      <c r="K7" s="1"/>
      <c r="L7" s="19" t="s">
        <v>811</v>
      </c>
      <c r="M7" s="1"/>
      <c r="N7" s="1"/>
      <c r="O7" s="1"/>
      <c r="P7" s="1"/>
      <c r="Q7" s="1"/>
    </row>
    <row r="8" spans="1:17" ht="27.95" customHeight="1" x14ac:dyDescent="0.2">
      <c r="A8" s="1"/>
      <c r="B8" s="20" t="s">
        <v>783</v>
      </c>
      <c r="C8" s="5" t="s">
        <v>784</v>
      </c>
      <c r="D8" s="5" t="s">
        <v>803</v>
      </c>
      <c r="E8" s="5" t="s">
        <v>804</v>
      </c>
      <c r="F8" s="5" t="s">
        <v>798</v>
      </c>
      <c r="G8" s="5" t="s">
        <v>805</v>
      </c>
      <c r="H8" s="5" t="s">
        <v>800</v>
      </c>
      <c r="I8" s="5" t="s">
        <v>806</v>
      </c>
      <c r="J8" s="5" t="s">
        <v>807</v>
      </c>
      <c r="K8" s="1"/>
      <c r="L8" s="20" t="s">
        <v>784</v>
      </c>
      <c r="M8" s="5" t="s">
        <v>803</v>
      </c>
      <c r="N8" s="5" t="s">
        <v>804</v>
      </c>
      <c r="O8" s="5" t="s">
        <v>805</v>
      </c>
      <c r="P8" s="5" t="s">
        <v>806</v>
      </c>
      <c r="Q8" s="1"/>
    </row>
    <row r="9" spans="1:17" ht="18" customHeight="1" x14ac:dyDescent="0.2">
      <c r="A9" s="1"/>
      <c r="B9" s="21" t="s">
        <v>31</v>
      </c>
      <c r="C9" s="45" t="str">
        <f>_xlfn.XLOOKUP($B9,Invoices[Customer],Invoices[Segment])</f>
        <v>Supermarket</v>
      </c>
      <c r="D9" s="29">
        <f>COUNTIFS(Invoices[Customer],$B9,Invoices[Doc Type],"Invoice")</f>
        <v>122</v>
      </c>
      <c r="E9" s="25">
        <f>SUMIFS(Invoices[Total (SAR)],Invoices[Customer],$B9,Invoices[Doc Type],"Invoice")</f>
        <v>1517111.3499999999</v>
      </c>
      <c r="F9" s="25">
        <f>SUMIFS(Invoices[Total (SAR)],Invoices[Customer],$B9,Invoices[Status],"Paid")</f>
        <v>1303525.9299999997</v>
      </c>
      <c r="G9" s="25">
        <f>SUMIFS(Invoices[Total (SAR)],Invoices[Customer],$B9,Invoices[Status],"Open")</f>
        <v>213585.42000000004</v>
      </c>
      <c r="H9" s="25">
        <f>SUMIFS(Invoices[Total (SAR)],Invoices[Customer],$B9,Invoices[Doc Type],"Credit note")</f>
        <v>-36683.909999999996</v>
      </c>
      <c r="I9" s="34">
        <f>IF($E$29=0,0,E9/$E$29)</f>
        <v>0.26394650191174229</v>
      </c>
      <c r="J9" s="35">
        <f>IFERROR(AVERAGEIFS(Invoices[Days Late],Invoices[Customer],$B9,Invoices[Status],"Paid"),0)</f>
        <v>5.0288461538461542</v>
      </c>
      <c r="K9" s="1"/>
      <c r="L9" s="21" t="s">
        <v>6</v>
      </c>
      <c r="M9" s="29">
        <f>COUNTIFS(Invoices[Segment],$L9,Invoices[Doc Type],"Invoice")</f>
        <v>289</v>
      </c>
      <c r="N9" s="25">
        <f>SUMIFS(Invoices[Total (SAR)],Invoices[Segment],$L9,Invoices[Doc Type],"Invoice")</f>
        <v>3537594.4800000018</v>
      </c>
      <c r="O9" s="25">
        <f>SUMIFS(Invoices[Total (SAR)],Invoices[Segment],$L9,Invoices[Status],"Open")</f>
        <v>337993.33</v>
      </c>
      <c r="P9" s="34">
        <f>IF($N$17=0,0,N9/$N$17)</f>
        <v>0.61546945000331676</v>
      </c>
      <c r="Q9" s="1"/>
    </row>
    <row r="10" spans="1:17" ht="18" customHeight="1" x14ac:dyDescent="0.2">
      <c r="A10" s="1"/>
      <c r="B10" s="22" t="s">
        <v>5</v>
      </c>
      <c r="C10" s="46" t="str">
        <f>_xlfn.XLOOKUP($B10,Invoices[Customer],Invoices[Segment])</f>
        <v>Supermarket</v>
      </c>
      <c r="D10" s="30">
        <f>COUNTIFS(Invoices[Customer],$B10,Invoices[Doc Type],"Invoice")</f>
        <v>94</v>
      </c>
      <c r="E10" s="26">
        <f>SUMIFS(Invoices[Total (SAR)],Invoices[Customer],$B10,Invoices[Doc Type],"Invoice")</f>
        <v>1099769.3199999998</v>
      </c>
      <c r="F10" s="26">
        <f>SUMIFS(Invoices[Total (SAR)],Invoices[Customer],$B10,Invoices[Status],"Paid")</f>
        <v>1051270.94</v>
      </c>
      <c r="G10" s="26">
        <f>SUMIFS(Invoices[Total (SAR)],Invoices[Customer],$B10,Invoices[Status],"Open")</f>
        <v>48498.380000000005</v>
      </c>
      <c r="H10" s="26">
        <f>SUMIFS(Invoices[Total (SAR)],Invoices[Customer],$B10,Invoices[Doc Type],"Credit note")</f>
        <v>-14033.76</v>
      </c>
      <c r="I10" s="36">
        <f t="shared" ref="I10:I28" si="0">IF($E$29=0,0,E10/$E$29)</f>
        <v>0.19133748153941074</v>
      </c>
      <c r="J10" s="37">
        <f>IFERROR(AVERAGEIFS(Invoices[Days Late],Invoices[Customer],$B10,Invoices[Status],"Paid"),0)</f>
        <v>3.9775280898876404</v>
      </c>
      <c r="K10" s="1"/>
      <c r="L10" s="22" t="s">
        <v>25</v>
      </c>
      <c r="M10" s="30">
        <f>COUNTIFS(Invoices[Segment],$L10,Invoices[Doc Type],"Invoice")</f>
        <v>52</v>
      </c>
      <c r="N10" s="26">
        <f>SUMIFS(Invoices[Total (SAR)],Invoices[Segment],$L10,Invoices[Doc Type],"Invoice")</f>
        <v>567525.4</v>
      </c>
      <c r="O10" s="26">
        <f>SUMIFS(Invoices[Total (SAR)],Invoices[Segment],$L10,Invoices[Status],"Open")</f>
        <v>94356.930000000008</v>
      </c>
      <c r="P10" s="36">
        <f t="shared" ref="P10:P16" si="1">IF($N$17=0,0,N10/$N$17)</f>
        <v>9.8737870543294207E-2</v>
      </c>
      <c r="Q10" s="1"/>
    </row>
    <row r="11" spans="1:17" ht="18" customHeight="1" x14ac:dyDescent="0.2">
      <c r="A11" s="1"/>
      <c r="B11" s="22" t="s">
        <v>8</v>
      </c>
      <c r="C11" s="46" t="str">
        <f>_xlfn.XLOOKUP($B11,Invoices[Customer],Invoices[Segment])</f>
        <v>Supermarket</v>
      </c>
      <c r="D11" s="30">
        <f>COUNTIFS(Invoices[Customer],$B11,Invoices[Doc Type],"Invoice")</f>
        <v>54</v>
      </c>
      <c r="E11" s="26">
        <f>SUMIFS(Invoices[Total (SAR)],Invoices[Customer],$B11,Invoices[Doc Type],"Invoice")</f>
        <v>630863.47999999986</v>
      </c>
      <c r="F11" s="26">
        <f>SUMIFS(Invoices[Total (SAR)],Invoices[Customer],$B11,Invoices[Status],"Paid")</f>
        <v>590473.18999999994</v>
      </c>
      <c r="G11" s="26">
        <f>SUMIFS(Invoices[Total (SAR)],Invoices[Customer],$B11,Invoices[Status],"Open")</f>
        <v>40390.29</v>
      </c>
      <c r="H11" s="26">
        <f>SUMIFS(Invoices[Total (SAR)],Invoices[Customer],$B11,Invoices[Doc Type],"Credit note")</f>
        <v>-9775.51</v>
      </c>
      <c r="I11" s="36">
        <f t="shared" si="0"/>
        <v>0.10975740754287309</v>
      </c>
      <c r="J11" s="37">
        <f>IFERROR(AVERAGEIFS(Invoices[Days Late],Invoices[Customer],$B11,Invoices[Status],"Paid"),0)</f>
        <v>6.02</v>
      </c>
      <c r="K11" s="1"/>
      <c r="L11" s="22" t="s">
        <v>11</v>
      </c>
      <c r="M11" s="30">
        <f>COUNTIFS(Invoices[Segment],$L11,Invoices[Doc Type],"Invoice")</f>
        <v>63</v>
      </c>
      <c r="N11" s="26">
        <f>SUMIFS(Invoices[Total (SAR)],Invoices[Segment],$L11,Invoices[Doc Type],"Invoice")</f>
        <v>435794.09000000008</v>
      </c>
      <c r="O11" s="26">
        <f>SUMIFS(Invoices[Total (SAR)],Invoices[Segment],$L11,Invoices[Status],"Open")</f>
        <v>38621.869999999995</v>
      </c>
      <c r="P11" s="36">
        <f t="shared" si="1"/>
        <v>7.5819303315680167E-2</v>
      </c>
      <c r="Q11" s="1"/>
    </row>
    <row r="12" spans="1:17" ht="18" customHeight="1" x14ac:dyDescent="0.2">
      <c r="A12" s="1"/>
      <c r="B12" s="22" t="s">
        <v>24</v>
      </c>
      <c r="C12" s="46" t="str">
        <f>_xlfn.XLOOKUP($B12,Invoices[Customer],Invoices[Segment])</f>
        <v>Hospitality</v>
      </c>
      <c r="D12" s="30">
        <f>COUNTIFS(Invoices[Customer],$B12,Invoices[Doc Type],"Invoice")</f>
        <v>52</v>
      </c>
      <c r="E12" s="26">
        <f>SUMIFS(Invoices[Total (SAR)],Invoices[Customer],$B12,Invoices[Doc Type],"Invoice")</f>
        <v>567525.4</v>
      </c>
      <c r="F12" s="26">
        <f>SUMIFS(Invoices[Total (SAR)],Invoices[Customer],$B12,Invoices[Status],"Paid")</f>
        <v>473168.47</v>
      </c>
      <c r="G12" s="26">
        <f>SUMIFS(Invoices[Total (SAR)],Invoices[Customer],$B12,Invoices[Status],"Open")</f>
        <v>94356.930000000008</v>
      </c>
      <c r="H12" s="26">
        <f>SUMIFS(Invoices[Total (SAR)],Invoices[Customer],$B12,Invoices[Doc Type],"Credit note")</f>
        <v>-6489.12</v>
      </c>
      <c r="I12" s="36">
        <f t="shared" si="0"/>
        <v>9.8737870543294221E-2</v>
      </c>
      <c r="J12" s="37">
        <f>IFERROR(AVERAGEIFS(Invoices[Days Late],Invoices[Customer],$B12,Invoices[Status],"Paid"),0)</f>
        <v>5.4090909090909092</v>
      </c>
      <c r="K12" s="1"/>
      <c r="L12" s="22" t="s">
        <v>21</v>
      </c>
      <c r="M12" s="30">
        <f>COUNTIFS(Invoices[Segment],$L12,Invoices[Doc Type],"Invoice")</f>
        <v>97</v>
      </c>
      <c r="N12" s="26">
        <f>SUMIFS(Invoices[Total (SAR)],Invoices[Segment],$L12,Invoices[Doc Type],"Invoice")</f>
        <v>432876.16999999975</v>
      </c>
      <c r="O12" s="26">
        <f>SUMIFS(Invoices[Total (SAR)],Invoices[Segment],$L12,Invoices[Status],"Open")</f>
        <v>22931.19</v>
      </c>
      <c r="P12" s="36">
        <f t="shared" si="1"/>
        <v>7.5311644614914131E-2</v>
      </c>
      <c r="Q12" s="1"/>
    </row>
    <row r="13" spans="1:17" ht="18" customHeight="1" x14ac:dyDescent="0.2">
      <c r="A13" s="1"/>
      <c r="B13" s="22" t="s">
        <v>13</v>
      </c>
      <c r="C13" s="46" t="str">
        <f>_xlfn.XLOOKUP($B13,Invoices[Customer],Invoices[Segment])</f>
        <v>Cafe chain</v>
      </c>
      <c r="D13" s="30">
        <f>COUNTIFS(Invoices[Customer],$B13,Invoices[Doc Type],"Invoice")</f>
        <v>59</v>
      </c>
      <c r="E13" s="26">
        <f>SUMIFS(Invoices[Total (SAR)],Invoices[Customer],$B13,Invoices[Doc Type],"Invoice")</f>
        <v>284361.88</v>
      </c>
      <c r="F13" s="26">
        <f>SUMIFS(Invoices[Total (SAR)],Invoices[Customer],$B13,Invoices[Status],"Paid")</f>
        <v>276588.62</v>
      </c>
      <c r="G13" s="26">
        <f>SUMIFS(Invoices[Total (SAR)],Invoices[Customer],$B13,Invoices[Status],"Open")</f>
        <v>7773.26</v>
      </c>
      <c r="H13" s="26">
        <f>SUMIFS(Invoices[Total (SAR)],Invoices[Customer],$B13,Invoices[Doc Type],"Credit note")</f>
        <v>-1593.75</v>
      </c>
      <c r="I13" s="36">
        <f t="shared" si="0"/>
        <v>4.9473180398424049E-2</v>
      </c>
      <c r="J13" s="37">
        <f>IFERROR(AVERAGEIFS(Invoices[Days Late],Invoices[Customer],$B13,Invoices[Status],"Paid"),0)</f>
        <v>0.77586206896551724</v>
      </c>
      <c r="K13" s="1"/>
      <c r="L13" s="22" t="s">
        <v>17</v>
      </c>
      <c r="M13" s="30">
        <f>COUNTIFS(Invoices[Segment],$L13,Invoices[Doc Type],"Invoice")</f>
        <v>94</v>
      </c>
      <c r="N13" s="26">
        <f>SUMIFS(Invoices[Total (SAR)],Invoices[Segment],$L13,Invoices[Doc Type],"Invoice")</f>
        <v>323997.30999999988</v>
      </c>
      <c r="O13" s="26">
        <f>SUMIFS(Invoices[Total (SAR)],Invoices[Segment],$L13,Invoices[Status],"Open")</f>
        <v>6559.54</v>
      </c>
      <c r="P13" s="36">
        <f t="shared" si="1"/>
        <v>5.6368938643372703E-2</v>
      </c>
      <c r="Q13" s="1"/>
    </row>
    <row r="14" spans="1:17" ht="18" customHeight="1" x14ac:dyDescent="0.2">
      <c r="A14" s="1"/>
      <c r="B14" s="22" t="s">
        <v>10</v>
      </c>
      <c r="C14" s="46" t="str">
        <f>_xlfn.XLOOKUP($B14,Invoices[Customer],Invoices[Segment])</f>
        <v>Catering</v>
      </c>
      <c r="D14" s="30">
        <f>COUNTIFS(Invoices[Customer],$B14,Invoices[Doc Type],"Invoice")</f>
        <v>41</v>
      </c>
      <c r="E14" s="26">
        <f>SUMIFS(Invoices[Total (SAR)],Invoices[Customer],$B14,Invoices[Doc Type],"Invoice")</f>
        <v>274811.8</v>
      </c>
      <c r="F14" s="26">
        <f>SUMIFS(Invoices[Total (SAR)],Invoices[Customer],$B14,Invoices[Status],"Paid")</f>
        <v>257183.25000000003</v>
      </c>
      <c r="G14" s="26">
        <f>SUMIFS(Invoices[Total (SAR)],Invoices[Customer],$B14,Invoices[Status],"Open")</f>
        <v>17628.55</v>
      </c>
      <c r="H14" s="26">
        <f>SUMIFS(Invoices[Total (SAR)],Invoices[Customer],$B14,Invoices[Doc Type],"Credit note")</f>
        <v>-2287.4499999999998</v>
      </c>
      <c r="I14" s="36">
        <f t="shared" si="0"/>
        <v>4.7811660821118596E-2</v>
      </c>
      <c r="J14" s="37">
        <f>IFERROR(AVERAGEIFS(Invoices[Days Late],Invoices[Customer],$B14,Invoices[Status],"Paid"),0)</f>
        <v>9.1794871794871788</v>
      </c>
      <c r="K14" s="1"/>
      <c r="L14" s="22" t="s">
        <v>1</v>
      </c>
      <c r="M14" s="30">
        <f>COUNTIFS(Invoices[Segment],$L14,Invoices[Doc Type],"Invoice")</f>
        <v>59</v>
      </c>
      <c r="N14" s="26">
        <f>SUMIFS(Invoices[Total (SAR)],Invoices[Segment],$L14,Invoices[Doc Type],"Invoice")</f>
        <v>284361.88</v>
      </c>
      <c r="O14" s="26">
        <f>SUMIFS(Invoices[Total (SAR)],Invoices[Segment],$L14,Invoices[Status],"Open")</f>
        <v>7773.26</v>
      </c>
      <c r="P14" s="36">
        <f t="shared" si="1"/>
        <v>4.9473180398424035E-2</v>
      </c>
      <c r="Q14" s="1"/>
    </row>
    <row r="15" spans="1:17" ht="18" customHeight="1" x14ac:dyDescent="0.2">
      <c r="A15" s="1"/>
      <c r="B15" s="22" t="s">
        <v>69</v>
      </c>
      <c r="C15" s="46" t="str">
        <f>_xlfn.XLOOKUP($B15,Invoices[Customer],Invoices[Segment])</f>
        <v>Supermarket</v>
      </c>
      <c r="D15" s="30">
        <f>COUNTIFS(Invoices[Customer],$B15,Invoices[Doc Type],"Invoice")</f>
        <v>19</v>
      </c>
      <c r="E15" s="26">
        <f>SUMIFS(Invoices[Total (SAR)],Invoices[Customer],$B15,Invoices[Doc Type],"Invoice")</f>
        <v>289850.32999999996</v>
      </c>
      <c r="F15" s="26">
        <f>SUMIFS(Invoices[Total (SAR)],Invoices[Customer],$B15,Invoices[Status],"Paid")</f>
        <v>254331.08999999994</v>
      </c>
      <c r="G15" s="26">
        <f>SUMIFS(Invoices[Total (SAR)],Invoices[Customer],$B15,Invoices[Status],"Open")</f>
        <v>35519.24</v>
      </c>
      <c r="H15" s="26">
        <f>SUMIFS(Invoices[Total (SAR)],Invoices[Customer],$B15,Invoices[Doc Type],"Credit note")</f>
        <v>-26725.24</v>
      </c>
      <c r="I15" s="36">
        <f t="shared" si="0"/>
        <v>5.0428059009290344E-2</v>
      </c>
      <c r="J15" s="37">
        <f>IFERROR(AVERAGEIFS(Invoices[Days Late],Invoices[Customer],$B15,Invoices[Status],"Paid"),0)</f>
        <v>8.2222222222222214</v>
      </c>
      <c r="K15" s="1"/>
      <c r="L15" s="22" t="s">
        <v>62</v>
      </c>
      <c r="M15" s="30">
        <f>COUNTIFS(Invoices[Segment],$L15,Invoices[Doc Type],"Invoice")</f>
        <v>48</v>
      </c>
      <c r="N15" s="26">
        <f>SUMIFS(Invoices[Total (SAR)],Invoices[Segment],$L15,Invoices[Doc Type],"Invoice")</f>
        <v>91910.53</v>
      </c>
      <c r="O15" s="26">
        <f>SUMIFS(Invoices[Total (SAR)],Invoices[Segment],$L15,Invoices[Status],"Open")</f>
        <v>0</v>
      </c>
      <c r="P15" s="36">
        <f t="shared" si="1"/>
        <v>1.599056185451005E-2</v>
      </c>
      <c r="Q15" s="1"/>
    </row>
    <row r="16" spans="1:17" ht="18" customHeight="1" x14ac:dyDescent="0.2">
      <c r="A16" s="1"/>
      <c r="B16" s="22" t="s">
        <v>34</v>
      </c>
      <c r="C16" s="46" t="str">
        <f>_xlfn.XLOOKUP($B16,Invoices[Customer],Invoices[Segment])</f>
        <v>Restaurant</v>
      </c>
      <c r="D16" s="30">
        <f>COUNTIFS(Invoices[Customer],$B16,Invoices[Doc Type],"Invoice")</f>
        <v>42</v>
      </c>
      <c r="E16" s="26">
        <f>SUMIFS(Invoices[Total (SAR)],Invoices[Customer],$B16,Invoices[Doc Type],"Invoice")</f>
        <v>179467.08999999997</v>
      </c>
      <c r="F16" s="26">
        <f>SUMIFS(Invoices[Total (SAR)],Invoices[Customer],$B16,Invoices[Status],"Paid")</f>
        <v>168097.45999999996</v>
      </c>
      <c r="G16" s="26">
        <f>SUMIFS(Invoices[Total (SAR)],Invoices[Customer],$B16,Invoices[Status],"Open")</f>
        <v>11369.63</v>
      </c>
      <c r="H16" s="26">
        <f>SUMIFS(Invoices[Total (SAR)],Invoices[Customer],$B16,Invoices[Doc Type],"Credit note")</f>
        <v>-620.52</v>
      </c>
      <c r="I16" s="36">
        <f t="shared" si="0"/>
        <v>3.122362153165608E-2</v>
      </c>
      <c r="J16" s="37">
        <f>IFERROR(AVERAGEIFS(Invoices[Days Late],Invoices[Customer],$B16,Invoices[Status],"Paid"),0)</f>
        <v>9.0512820512820511</v>
      </c>
      <c r="K16" s="1"/>
      <c r="L16" s="23" t="s">
        <v>39</v>
      </c>
      <c r="M16" s="31">
        <f>COUNTIFS(Invoices[Segment],$L16,Invoices[Doc Type],"Invoice")</f>
        <v>29</v>
      </c>
      <c r="N16" s="27">
        <f>SUMIFS(Invoices[Total (SAR)],Invoices[Segment],$L16,Invoices[Doc Type],"Invoice")</f>
        <v>73738.8</v>
      </c>
      <c r="O16" s="27">
        <f>SUMIFS(Invoices[Total (SAR)],Invoices[Segment],$L16,Invoices[Status],"Open")</f>
        <v>0</v>
      </c>
      <c r="P16" s="38">
        <f t="shared" si="1"/>
        <v>1.2829050626488018E-2</v>
      </c>
      <c r="Q16" s="1"/>
    </row>
    <row r="17" spans="1:17" ht="18" customHeight="1" thickBot="1" x14ac:dyDescent="0.25">
      <c r="A17" s="1"/>
      <c r="B17" s="22" t="s">
        <v>54</v>
      </c>
      <c r="C17" s="46" t="str">
        <f>_xlfn.XLOOKUP($B17,Invoices[Customer],Invoices[Segment])</f>
        <v>Catering</v>
      </c>
      <c r="D17" s="30">
        <f>COUNTIFS(Invoices[Customer],$B17,Invoices[Doc Type],"Invoice")</f>
        <v>22</v>
      </c>
      <c r="E17" s="26">
        <f>SUMIFS(Invoices[Total (SAR)],Invoices[Customer],$B17,Invoices[Doc Type],"Invoice")</f>
        <v>160982.29</v>
      </c>
      <c r="F17" s="26">
        <f>SUMIFS(Invoices[Total (SAR)],Invoices[Customer],$B17,Invoices[Status],"Paid")</f>
        <v>139988.97</v>
      </c>
      <c r="G17" s="26">
        <f>SUMIFS(Invoices[Total (SAR)],Invoices[Customer],$B17,Invoices[Status],"Open")</f>
        <v>20993.32</v>
      </c>
      <c r="H17" s="26">
        <f>SUMIFS(Invoices[Total (SAR)],Invoices[Customer],$B17,Invoices[Doc Type],"Credit note")</f>
        <v>0</v>
      </c>
      <c r="I17" s="36">
        <f t="shared" si="0"/>
        <v>2.8007642494561561E-2</v>
      </c>
      <c r="J17" s="37">
        <f>IFERROR(AVERAGEIFS(Invoices[Days Late],Invoices[Customer],$B17,Invoices[Status],"Paid"),0)</f>
        <v>22.5</v>
      </c>
      <c r="K17" s="1"/>
      <c r="L17" s="24" t="s">
        <v>808</v>
      </c>
      <c r="M17" s="33">
        <f>SUM(M9:M16)</f>
        <v>731</v>
      </c>
      <c r="N17" s="28">
        <f>SUM(N9:N16)</f>
        <v>5747798.6600000011</v>
      </c>
      <c r="O17" s="28">
        <f>SUM(O9:O16)</f>
        <v>508236.12</v>
      </c>
      <c r="P17" s="40">
        <f>SUM(P9:P16)</f>
        <v>1.0000000000000002</v>
      </c>
      <c r="Q17" s="1"/>
    </row>
    <row r="18" spans="1:17" ht="18" customHeight="1" thickTop="1" x14ac:dyDescent="0.2">
      <c r="A18" s="1"/>
      <c r="B18" s="22" t="s">
        <v>20</v>
      </c>
      <c r="C18" s="46" t="str">
        <f>_xlfn.XLOOKUP($B18,Invoices[Customer],Invoices[Segment])</f>
        <v>Restaurant</v>
      </c>
      <c r="D18" s="30">
        <f>COUNTIFS(Invoices[Customer],$B18,Invoices[Doc Type],"Invoice")</f>
        <v>31</v>
      </c>
      <c r="E18" s="26">
        <f>SUMIFS(Invoices[Total (SAR)],Invoices[Customer],$B18,Invoices[Doc Type],"Invoice")</f>
        <v>150854.68</v>
      </c>
      <c r="F18" s="26">
        <f>SUMIFS(Invoices[Total (SAR)],Invoices[Customer],$B18,Invoices[Status],"Paid")</f>
        <v>144545.03</v>
      </c>
      <c r="G18" s="26">
        <f>SUMIFS(Invoices[Total (SAR)],Invoices[Customer],$B18,Invoices[Status],"Open")</f>
        <v>6309.65</v>
      </c>
      <c r="H18" s="26">
        <f>SUMIFS(Invoices[Total (SAR)],Invoices[Customer],$B18,Invoices[Doc Type],"Credit note")</f>
        <v>0</v>
      </c>
      <c r="I18" s="36">
        <f t="shared" si="0"/>
        <v>2.6245644449904928E-2</v>
      </c>
      <c r="J18" s="37">
        <f>IFERROR(AVERAGEIFS(Invoices[Days Late],Invoices[Customer],$B18,Invoices[Status],"Paid"),0)</f>
        <v>5.3448275862068968</v>
      </c>
      <c r="K18" s="1"/>
      <c r="L18" s="1"/>
      <c r="M18" s="1"/>
      <c r="N18" s="1"/>
      <c r="O18" s="1"/>
      <c r="P18" s="1"/>
      <c r="Q18" s="1"/>
    </row>
    <row r="19" spans="1:17" ht="18" customHeight="1" x14ac:dyDescent="0.25">
      <c r="A19" s="1"/>
      <c r="B19" s="22" t="s">
        <v>75</v>
      </c>
      <c r="C19" s="46" t="str">
        <f>_xlfn.XLOOKUP($B19,Invoices[Customer],Invoices[Segment])</f>
        <v>Restaurant</v>
      </c>
      <c r="D19" s="30">
        <f>COUNTIFS(Invoices[Customer],$B19,Invoices[Doc Type],"Invoice")</f>
        <v>24</v>
      </c>
      <c r="E19" s="26">
        <f>SUMIFS(Invoices[Total (SAR)],Invoices[Customer],$B19,Invoices[Doc Type],"Invoice")</f>
        <v>102554.4</v>
      </c>
      <c r="F19" s="26">
        <f>SUMIFS(Invoices[Total (SAR)],Invoices[Customer],$B19,Invoices[Status],"Paid")</f>
        <v>97302.489999999991</v>
      </c>
      <c r="G19" s="26">
        <f>SUMIFS(Invoices[Total (SAR)],Invoices[Customer],$B19,Invoices[Status],"Open")</f>
        <v>5251.91</v>
      </c>
      <c r="H19" s="26">
        <f>SUMIFS(Invoices[Total (SAR)],Invoices[Customer],$B19,Invoices[Doc Type],"Credit note")</f>
        <v>0</v>
      </c>
      <c r="I19" s="36">
        <f t="shared" si="0"/>
        <v>1.7842378633353171E-2</v>
      </c>
      <c r="J19" s="37">
        <f>IFERROR(AVERAGEIFS(Invoices[Days Late],Invoices[Customer],$B19,Invoices[Status],"Paid"),0)</f>
        <v>1.173913043478261</v>
      </c>
      <c r="K19" s="1"/>
      <c r="L19" s="19" t="s">
        <v>812</v>
      </c>
      <c r="M19" s="1"/>
      <c r="N19" s="1"/>
      <c r="O19" s="1"/>
      <c r="P19" s="1"/>
      <c r="Q19" s="1"/>
    </row>
    <row r="20" spans="1:17" ht="18" customHeight="1" x14ac:dyDescent="0.2">
      <c r="A20" s="1"/>
      <c r="B20" s="22" t="s">
        <v>16</v>
      </c>
      <c r="C20" s="46" t="str">
        <f>_xlfn.XLOOKUP($B20,Invoices[Customer],Invoices[Segment])</f>
        <v>Minimarket</v>
      </c>
      <c r="D20" s="30">
        <f>COUNTIFS(Invoices[Customer],$B20,Invoices[Doc Type],"Invoice")</f>
        <v>30</v>
      </c>
      <c r="E20" s="26">
        <f>SUMIFS(Invoices[Total (SAR)],Invoices[Customer],$B20,Invoices[Doc Type],"Invoice")</f>
        <v>97022.760000000009</v>
      </c>
      <c r="F20" s="26">
        <f>SUMIFS(Invoices[Total (SAR)],Invoices[Customer],$B20,Invoices[Status],"Paid")</f>
        <v>97022.760000000009</v>
      </c>
      <c r="G20" s="26">
        <f>SUMIFS(Invoices[Total (SAR)],Invoices[Customer],$B20,Invoices[Status],"Open")</f>
        <v>0</v>
      </c>
      <c r="H20" s="26">
        <f>SUMIFS(Invoices[Total (SAR)],Invoices[Customer],$B20,Invoices[Doc Type],"Credit note")</f>
        <v>0</v>
      </c>
      <c r="I20" s="36">
        <f t="shared" si="0"/>
        <v>1.687998584139689E-2</v>
      </c>
      <c r="J20" s="37">
        <f>IFERROR(AVERAGEIFS(Invoices[Days Late],Invoices[Customer],$B20,Invoices[Status],"Paid"),0)</f>
        <v>15</v>
      </c>
      <c r="K20" s="1"/>
      <c r="L20" s="20" t="s">
        <v>809</v>
      </c>
      <c r="M20" s="5" t="s">
        <v>804</v>
      </c>
      <c r="N20" s="5" t="s">
        <v>798</v>
      </c>
      <c r="O20" s="5" t="s">
        <v>805</v>
      </c>
      <c r="P20" s="1"/>
      <c r="Q20" s="1"/>
    </row>
    <row r="21" spans="1:17" ht="18" customHeight="1" x14ac:dyDescent="0.2">
      <c r="A21" s="1"/>
      <c r="B21" s="22" t="s">
        <v>45</v>
      </c>
      <c r="C21" s="46" t="str">
        <f>_xlfn.XLOOKUP($B21,Invoices[Customer],Invoices[Segment])</f>
        <v>Minimarket</v>
      </c>
      <c r="D21" s="30">
        <f>COUNTIFS(Invoices[Customer],$B21,Invoices[Doc Type],"Invoice")</f>
        <v>28</v>
      </c>
      <c r="E21" s="26">
        <f>SUMIFS(Invoices[Total (SAR)],Invoices[Customer],$B21,Invoices[Doc Type],"Invoice")</f>
        <v>96577.680000000008</v>
      </c>
      <c r="F21" s="26">
        <f>SUMIFS(Invoices[Total (SAR)],Invoices[Customer],$B21,Invoices[Status],"Paid")</f>
        <v>91915.8</v>
      </c>
      <c r="G21" s="26">
        <f>SUMIFS(Invoices[Total (SAR)],Invoices[Customer],$B21,Invoices[Status],"Open")</f>
        <v>4661.88</v>
      </c>
      <c r="H21" s="26">
        <f>SUMIFS(Invoices[Total (SAR)],Invoices[Customer],$B21,Invoices[Doc Type],"Credit note")</f>
        <v>0</v>
      </c>
      <c r="I21" s="36">
        <f t="shared" si="0"/>
        <v>1.6802550978708083E-2</v>
      </c>
      <c r="J21" s="37">
        <f>IFERROR(AVERAGEIFS(Invoices[Days Late],Invoices[Customer],$B21,Invoices[Status],"Paid"),0)</f>
        <v>4.8888888888888893</v>
      </c>
      <c r="K21" s="1"/>
      <c r="L21" s="42">
        <f>EOMONTH(MIN(Invoices[Invoice Date]),-1)+1</f>
        <v>45931</v>
      </c>
      <c r="M21" s="25">
        <f>SUMIFS(Invoices[Total (SAR)],Invoices[Invoice Date],"&gt;="&amp;$L21,Invoices[Invoice Date],"&lt;"&amp;EDATE($L21,1),Invoices[Doc Type],"Invoice")</f>
        <v>521369.88</v>
      </c>
      <c r="N21" s="25">
        <f>SUMIFS(Invoices[Total (SAR)],Invoices[Invoice Date],"&gt;="&amp;$L21,Invoices[Invoice Date],"&lt;"&amp;EDATE($L21,1),Invoices[Status],"Paid")</f>
        <v>521369.88</v>
      </c>
      <c r="O21" s="25">
        <f>SUMIFS(Invoices[Total (SAR)],Invoices[Invoice Date],"&gt;="&amp;$L21,Invoices[Invoice Date],"&lt;"&amp;EDATE($L21,1),Invoices[Status],"Open")</f>
        <v>0</v>
      </c>
      <c r="P21" s="1"/>
      <c r="Q21" s="1"/>
    </row>
    <row r="22" spans="1:17" ht="18" customHeight="1" x14ac:dyDescent="0.2">
      <c r="A22" s="1"/>
      <c r="B22" s="22" t="s">
        <v>56</v>
      </c>
      <c r="C22" s="46" t="str">
        <f>_xlfn.XLOOKUP($B22,Invoices[Customer],Invoices[Segment])</f>
        <v>Minimarket</v>
      </c>
      <c r="D22" s="30">
        <f>COUNTIFS(Invoices[Customer],$B22,Invoices[Doc Type],"Invoice")</f>
        <v>21</v>
      </c>
      <c r="E22" s="26">
        <f>SUMIFS(Invoices[Total (SAR)],Invoices[Customer],$B22,Invoices[Doc Type],"Invoice")</f>
        <v>72188.540000000023</v>
      </c>
      <c r="F22" s="26">
        <f>SUMIFS(Invoices[Total (SAR)],Invoices[Customer],$B22,Invoices[Status],"Paid")</f>
        <v>70290.880000000019</v>
      </c>
      <c r="G22" s="26">
        <f>SUMIFS(Invoices[Total (SAR)],Invoices[Customer],$B22,Invoices[Status],"Open")</f>
        <v>1897.66</v>
      </c>
      <c r="H22" s="26">
        <f>SUMIFS(Invoices[Total (SAR)],Invoices[Customer],$B22,Invoices[Doc Type],"Credit note")</f>
        <v>0</v>
      </c>
      <c r="I22" s="36">
        <f t="shared" si="0"/>
        <v>1.2559336934046332E-2</v>
      </c>
      <c r="J22" s="37">
        <f>IFERROR(AVERAGEIFS(Invoices[Days Late],Invoices[Customer],$B22,Invoices[Status],"Paid"),0)</f>
        <v>11.55</v>
      </c>
      <c r="K22" s="1"/>
      <c r="L22" s="43">
        <f>EDATE(L21,1)</f>
        <v>45962</v>
      </c>
      <c r="M22" s="26">
        <f>SUMIFS(Invoices[Total (SAR)],Invoices[Invoice Date],"&gt;="&amp;$L22,Invoices[Invoice Date],"&lt;"&amp;EDATE($L22,1),Invoices[Doc Type],"Invoice")</f>
        <v>439977.15000000008</v>
      </c>
      <c r="N22" s="26">
        <f>SUMIFS(Invoices[Total (SAR)],Invoices[Invoice Date],"&gt;="&amp;$L22,Invoices[Invoice Date],"&lt;"&amp;EDATE($L22,1),Invoices[Status],"Paid")</f>
        <v>439977.15000000008</v>
      </c>
      <c r="O22" s="26">
        <f>SUMIFS(Invoices[Total (SAR)],Invoices[Invoice Date],"&gt;="&amp;$L22,Invoices[Invoice Date],"&lt;"&amp;EDATE($L22,1),Invoices[Status],"Open")</f>
        <v>0</v>
      </c>
      <c r="P22" s="1"/>
      <c r="Q22" s="1"/>
    </row>
    <row r="23" spans="1:17" ht="18" customHeight="1" x14ac:dyDescent="0.2">
      <c r="A23" s="1"/>
      <c r="B23" s="22" t="s">
        <v>36</v>
      </c>
      <c r="C23" s="46" t="str">
        <f>_xlfn.XLOOKUP($B23,Invoices[Customer],Invoices[Segment])</f>
        <v>Minimarket</v>
      </c>
      <c r="D23" s="30">
        <f>COUNTIFS(Invoices[Customer],$B23,Invoices[Doc Type],"Invoice")</f>
        <v>15</v>
      </c>
      <c r="E23" s="26">
        <f>SUMIFS(Invoices[Total (SAR)],Invoices[Customer],$B23,Invoices[Doc Type],"Invoice")</f>
        <v>58208.33</v>
      </c>
      <c r="F23" s="26">
        <f>SUMIFS(Invoices[Total (SAR)],Invoices[Customer],$B23,Invoices[Status],"Paid")</f>
        <v>58208.33</v>
      </c>
      <c r="G23" s="26">
        <f>SUMIFS(Invoices[Total (SAR)],Invoices[Customer],$B23,Invoices[Status],"Open")</f>
        <v>0</v>
      </c>
      <c r="H23" s="26">
        <f>SUMIFS(Invoices[Total (SAR)],Invoices[Customer],$B23,Invoices[Doc Type],"Credit note")</f>
        <v>0</v>
      </c>
      <c r="I23" s="36">
        <f t="shared" si="0"/>
        <v>1.0127064889221432E-2</v>
      </c>
      <c r="J23" s="37">
        <f>IFERROR(AVERAGEIFS(Invoices[Days Late],Invoices[Customer],$B23,Invoices[Status],"Paid"),0)</f>
        <v>23.8</v>
      </c>
      <c r="K23" s="1"/>
      <c r="L23" s="43">
        <f t="shared" ref="L23:L32" si="2">EDATE(L22,1)</f>
        <v>45992</v>
      </c>
      <c r="M23" s="26">
        <f>SUMIFS(Invoices[Total (SAR)],Invoices[Invoice Date],"&gt;="&amp;$L23,Invoices[Invoice Date],"&lt;"&amp;EDATE($L23,1),Invoices[Doc Type],"Invoice")</f>
        <v>431595.87000000005</v>
      </c>
      <c r="N23" s="26">
        <f>SUMIFS(Invoices[Total (SAR)],Invoices[Invoice Date],"&gt;="&amp;$L23,Invoices[Invoice Date],"&lt;"&amp;EDATE($L23,1),Invoices[Status],"Paid")</f>
        <v>431595.87000000005</v>
      </c>
      <c r="O23" s="26">
        <f>SUMIFS(Invoices[Total (SAR)],Invoices[Invoice Date],"&gt;="&amp;$L23,Invoices[Invoice Date],"&lt;"&amp;EDATE($L23,1),Invoices[Status],"Open")</f>
        <v>0</v>
      </c>
      <c r="P23" s="1"/>
      <c r="Q23" s="1"/>
    </row>
    <row r="24" spans="1:17" ht="18" customHeight="1" x14ac:dyDescent="0.2">
      <c r="A24" s="1"/>
      <c r="B24" s="22" t="s">
        <v>38</v>
      </c>
      <c r="C24" s="46" t="str">
        <f>_xlfn.XLOOKUP($B24,Invoices[Customer],Invoices[Segment])</f>
        <v>Bakery</v>
      </c>
      <c r="D24" s="30">
        <f>COUNTIFS(Invoices[Customer],$B24,Invoices[Doc Type],"Invoice")</f>
        <v>17</v>
      </c>
      <c r="E24" s="26">
        <f>SUMIFS(Invoices[Total (SAR)],Invoices[Customer],$B24,Invoices[Doc Type],"Invoice")</f>
        <v>44485.61</v>
      </c>
      <c r="F24" s="26">
        <f>SUMIFS(Invoices[Total (SAR)],Invoices[Customer],$B24,Invoices[Status],"Paid")</f>
        <v>44485.61</v>
      </c>
      <c r="G24" s="26">
        <f>SUMIFS(Invoices[Total (SAR)],Invoices[Customer],$B24,Invoices[Status],"Open")</f>
        <v>0</v>
      </c>
      <c r="H24" s="26">
        <f>SUMIFS(Invoices[Total (SAR)],Invoices[Customer],$B24,Invoices[Doc Type],"Credit note")</f>
        <v>0</v>
      </c>
      <c r="I24" s="36">
        <f t="shared" si="0"/>
        <v>7.7395908645136848E-3</v>
      </c>
      <c r="J24" s="37">
        <f>IFERROR(AVERAGEIFS(Invoices[Days Late],Invoices[Customer],$B24,Invoices[Status],"Paid"),0)</f>
        <v>1.5294117647058822</v>
      </c>
      <c r="K24" s="1"/>
      <c r="L24" s="43">
        <f t="shared" si="2"/>
        <v>46023</v>
      </c>
      <c r="M24" s="26">
        <f>SUMIFS(Invoices[Total (SAR)],Invoices[Invoice Date],"&gt;="&amp;$L24,Invoices[Invoice Date],"&lt;"&amp;EDATE($L24,1),Invoices[Doc Type],"Invoice")</f>
        <v>424265.79999999987</v>
      </c>
      <c r="N24" s="26">
        <f>SUMIFS(Invoices[Total (SAR)],Invoices[Invoice Date],"&gt;="&amp;$L24,Invoices[Invoice Date],"&lt;"&amp;EDATE($L24,1),Invoices[Status],"Paid")</f>
        <v>424265.79999999987</v>
      </c>
      <c r="O24" s="26">
        <f>SUMIFS(Invoices[Total (SAR)],Invoices[Invoice Date],"&gt;="&amp;$L24,Invoices[Invoice Date],"&lt;"&amp;EDATE($L24,1),Invoices[Status],"Open")</f>
        <v>0</v>
      </c>
      <c r="P24" s="1"/>
      <c r="Q24" s="1"/>
    </row>
    <row r="25" spans="1:17" ht="18" customHeight="1" x14ac:dyDescent="0.2">
      <c r="A25" s="1"/>
      <c r="B25" s="22" t="s">
        <v>61</v>
      </c>
      <c r="C25" s="46" t="str">
        <f>_xlfn.XLOOKUP($B25,Invoices[Customer],Invoices[Segment])</f>
        <v>Cafe</v>
      </c>
      <c r="D25" s="30">
        <f>COUNTIFS(Invoices[Customer],$B25,Invoices[Doc Type],"Invoice")</f>
        <v>21</v>
      </c>
      <c r="E25" s="26">
        <f>SUMIFS(Invoices[Total (SAR)],Invoices[Customer],$B25,Invoices[Doc Type],"Invoice")</f>
        <v>43094.549999999988</v>
      </c>
      <c r="F25" s="26">
        <f>SUMIFS(Invoices[Total (SAR)],Invoices[Customer],$B25,Invoices[Status],"Paid")</f>
        <v>43094.549999999988</v>
      </c>
      <c r="G25" s="26">
        <f>SUMIFS(Invoices[Total (SAR)],Invoices[Customer],$B25,Invoices[Status],"Open")</f>
        <v>0</v>
      </c>
      <c r="H25" s="26">
        <f>SUMIFS(Invoices[Total (SAR)],Invoices[Customer],$B25,Invoices[Doc Type],"Credit note")</f>
        <v>0</v>
      </c>
      <c r="I25" s="36">
        <f t="shared" si="0"/>
        <v>7.4975747323758881E-3</v>
      </c>
      <c r="J25" s="37">
        <f>IFERROR(AVERAGEIFS(Invoices[Days Late],Invoices[Customer],$B25,Invoices[Status],"Paid"),0)</f>
        <v>9.7142857142857135</v>
      </c>
      <c r="K25" s="1"/>
      <c r="L25" s="43">
        <f t="shared" si="2"/>
        <v>46054</v>
      </c>
      <c r="M25" s="26">
        <f>SUMIFS(Invoices[Total (SAR)],Invoices[Invoice Date],"&gt;="&amp;$L25,Invoices[Invoice Date],"&lt;"&amp;EDATE($L25,1),Invoices[Doc Type],"Invoice")</f>
        <v>568182.50999999989</v>
      </c>
      <c r="N25" s="26">
        <f>SUMIFS(Invoices[Total (SAR)],Invoices[Invoice Date],"&gt;="&amp;$L25,Invoices[Invoice Date],"&lt;"&amp;EDATE($L25,1),Invoices[Status],"Paid")</f>
        <v>568182.50999999989</v>
      </c>
      <c r="O25" s="26">
        <f>SUMIFS(Invoices[Total (SAR)],Invoices[Invoice Date],"&gt;="&amp;$L25,Invoices[Invoice Date],"&lt;"&amp;EDATE($L25,1),Invoices[Status],"Open")</f>
        <v>0</v>
      </c>
      <c r="P25" s="1"/>
      <c r="Q25" s="1"/>
    </row>
    <row r="26" spans="1:17" ht="18" customHeight="1" x14ac:dyDescent="0.2">
      <c r="A26" s="1"/>
      <c r="B26" s="22" t="s">
        <v>89</v>
      </c>
      <c r="C26" s="46" t="str">
        <f>_xlfn.XLOOKUP($B26,Invoices[Customer],Invoices[Segment])</f>
        <v>Bakery</v>
      </c>
      <c r="D26" s="30">
        <f>COUNTIFS(Invoices[Customer],$B26,Invoices[Doc Type],"Invoice")</f>
        <v>12</v>
      </c>
      <c r="E26" s="26">
        <f>SUMIFS(Invoices[Total (SAR)],Invoices[Customer],$B26,Invoices[Doc Type],"Invoice")</f>
        <v>29253.189999999995</v>
      </c>
      <c r="F26" s="26">
        <f>SUMIFS(Invoices[Total (SAR)],Invoices[Customer],$B26,Invoices[Status],"Paid")</f>
        <v>29253.189999999995</v>
      </c>
      <c r="G26" s="26">
        <f>SUMIFS(Invoices[Total (SAR)],Invoices[Customer],$B26,Invoices[Status],"Open")</f>
        <v>0</v>
      </c>
      <c r="H26" s="26">
        <f>SUMIFS(Invoices[Total (SAR)],Invoices[Customer],$B26,Invoices[Doc Type],"Credit note")</f>
        <v>0</v>
      </c>
      <c r="I26" s="36">
        <f t="shared" si="0"/>
        <v>5.0894597619743336E-3</v>
      </c>
      <c r="J26" s="37">
        <f>IFERROR(AVERAGEIFS(Invoices[Days Late],Invoices[Customer],$B26,Invoices[Status],"Paid"),0)</f>
        <v>3.9166666666666665</v>
      </c>
      <c r="K26" s="1"/>
      <c r="L26" s="43">
        <f t="shared" si="2"/>
        <v>46082</v>
      </c>
      <c r="M26" s="26">
        <f>SUMIFS(Invoices[Total (SAR)],Invoices[Invoice Date],"&gt;="&amp;$L26,Invoices[Invoice Date],"&lt;"&amp;EDATE($L26,1),Invoices[Doc Type],"Invoice")</f>
        <v>617752.46999999986</v>
      </c>
      <c r="N26" s="26">
        <f>SUMIFS(Invoices[Total (SAR)],Invoices[Invoice Date],"&gt;="&amp;$L26,Invoices[Invoice Date],"&lt;"&amp;EDATE($L26,1),Invoices[Status],"Paid")</f>
        <v>617752.46999999986</v>
      </c>
      <c r="O26" s="26">
        <f>SUMIFS(Invoices[Total (SAR)],Invoices[Invoice Date],"&gt;="&amp;$L26,Invoices[Invoice Date],"&lt;"&amp;EDATE($L26,1),Invoices[Status],"Open")</f>
        <v>0</v>
      </c>
      <c r="P26" s="1"/>
      <c r="Q26" s="1"/>
    </row>
    <row r="27" spans="1:17" ht="18" customHeight="1" x14ac:dyDescent="0.2">
      <c r="A27" s="1"/>
      <c r="B27" s="22" t="s">
        <v>95</v>
      </c>
      <c r="C27" s="46" t="str">
        <f>_xlfn.XLOOKUP($B27,Invoices[Customer],Invoices[Segment])</f>
        <v>Cafe</v>
      </c>
      <c r="D27" s="30">
        <f>COUNTIFS(Invoices[Customer],$B27,Invoices[Doc Type],"Invoice")</f>
        <v>12</v>
      </c>
      <c r="E27" s="26">
        <f>SUMIFS(Invoices[Total (SAR)],Invoices[Customer],$B27,Invoices[Doc Type],"Invoice")</f>
        <v>24253.75</v>
      </c>
      <c r="F27" s="26">
        <f>SUMIFS(Invoices[Total (SAR)],Invoices[Customer],$B27,Invoices[Status],"Paid")</f>
        <v>24253.75</v>
      </c>
      <c r="G27" s="26">
        <f>SUMIFS(Invoices[Total (SAR)],Invoices[Customer],$B27,Invoices[Status],"Open")</f>
        <v>0</v>
      </c>
      <c r="H27" s="26">
        <f>SUMIFS(Invoices[Total (SAR)],Invoices[Customer],$B27,Invoices[Doc Type],"Credit note")</f>
        <v>0</v>
      </c>
      <c r="I27" s="36">
        <f t="shared" si="0"/>
        <v>4.2196589398279302E-3</v>
      </c>
      <c r="J27" s="37">
        <f>IFERROR(AVERAGEIFS(Invoices[Days Late],Invoices[Customer],$B27,Invoices[Status],"Paid"),0)</f>
        <v>2.5</v>
      </c>
      <c r="K27" s="1"/>
      <c r="L27" s="43">
        <f t="shared" si="2"/>
        <v>46113</v>
      </c>
      <c r="M27" s="26">
        <f>SUMIFS(Invoices[Total (SAR)],Invoices[Invoice Date],"&gt;="&amp;$L27,Invoices[Invoice Date],"&lt;"&amp;EDATE($L27,1),Invoices[Doc Type],"Invoice")</f>
        <v>565428.25999999978</v>
      </c>
      <c r="N27" s="26">
        <f>SUMIFS(Invoices[Total (SAR)],Invoices[Invoice Date],"&gt;="&amp;$L27,Invoices[Invoice Date],"&lt;"&amp;EDATE($L27,1),Invoices[Status],"Paid")</f>
        <v>565428.25999999978</v>
      </c>
      <c r="O27" s="26">
        <f>SUMIFS(Invoices[Total (SAR)],Invoices[Invoice Date],"&gt;="&amp;$L27,Invoices[Invoice Date],"&lt;"&amp;EDATE($L27,1),Invoices[Status],"Open")</f>
        <v>0</v>
      </c>
      <c r="P27" s="1"/>
      <c r="Q27" s="1"/>
    </row>
    <row r="28" spans="1:17" ht="18" customHeight="1" x14ac:dyDescent="0.2">
      <c r="A28" s="1"/>
      <c r="B28" s="23" t="s">
        <v>66</v>
      </c>
      <c r="C28" s="47" t="str">
        <f>_xlfn.XLOOKUP($B28,Invoices[Customer],Invoices[Segment])</f>
        <v>Cafe</v>
      </c>
      <c r="D28" s="31">
        <f>COUNTIFS(Invoices[Customer],$B28,Invoices[Doc Type],"Invoice")</f>
        <v>15</v>
      </c>
      <c r="E28" s="27">
        <f>SUMIFS(Invoices[Total (SAR)],Invoices[Customer],$B28,Invoices[Doc Type],"Invoice")</f>
        <v>24562.230000000003</v>
      </c>
      <c r="F28" s="27">
        <f>SUMIFS(Invoices[Total (SAR)],Invoices[Customer],$B28,Invoices[Status],"Paid")</f>
        <v>24562.230000000003</v>
      </c>
      <c r="G28" s="27">
        <f>SUMIFS(Invoices[Total (SAR)],Invoices[Customer],$B28,Invoices[Status],"Open")</f>
        <v>0</v>
      </c>
      <c r="H28" s="27">
        <f>SUMIFS(Invoices[Total (SAR)],Invoices[Customer],$B28,Invoices[Doc Type],"Credit note")</f>
        <v>-1041.8800000000001</v>
      </c>
      <c r="I28" s="38">
        <f t="shared" si="0"/>
        <v>4.2733281823062333E-3</v>
      </c>
      <c r="J28" s="39">
        <f>IFERROR(AVERAGEIFS(Invoices[Days Late],Invoices[Customer],$B28,Invoices[Status],"Paid"),0)</f>
        <v>2.4</v>
      </c>
      <c r="K28" s="1"/>
      <c r="L28" s="43">
        <f t="shared" si="2"/>
        <v>46143</v>
      </c>
      <c r="M28" s="26">
        <f>SUMIFS(Invoices[Total (SAR)],Invoices[Invoice Date],"&gt;="&amp;$L28,Invoices[Invoice Date],"&lt;"&amp;EDATE($L28,1),Invoices[Doc Type],"Invoice")</f>
        <v>418318.91</v>
      </c>
      <c r="N28" s="26">
        <f>SUMIFS(Invoices[Total (SAR)],Invoices[Invoice Date],"&gt;="&amp;$L28,Invoices[Invoice Date],"&lt;"&amp;EDATE($L28,1),Invoices[Status],"Paid")</f>
        <v>400535.87999999995</v>
      </c>
      <c r="O28" s="26">
        <f>SUMIFS(Invoices[Total (SAR)],Invoices[Invoice Date],"&gt;="&amp;$L28,Invoices[Invoice Date],"&lt;"&amp;EDATE($L28,1),Invoices[Status],"Open")</f>
        <v>17783.03</v>
      </c>
      <c r="P28" s="1"/>
      <c r="Q28" s="1"/>
    </row>
    <row r="29" spans="1:17" ht="18" customHeight="1" thickBot="1" x14ac:dyDescent="0.25">
      <c r="A29" s="1"/>
      <c r="B29" s="24" t="s">
        <v>808</v>
      </c>
      <c r="C29" s="32"/>
      <c r="D29" s="33">
        <f t="shared" ref="D29:I29" si="3">SUM(D9:D28)</f>
        <v>731</v>
      </c>
      <c r="E29" s="28">
        <f t="shared" si="3"/>
        <v>5747798.6600000001</v>
      </c>
      <c r="F29" s="28">
        <f t="shared" si="3"/>
        <v>5239562.54</v>
      </c>
      <c r="G29" s="28">
        <f t="shared" si="3"/>
        <v>508236.12</v>
      </c>
      <c r="H29" s="28">
        <f t="shared" si="3"/>
        <v>-99251.140000000014</v>
      </c>
      <c r="I29" s="40">
        <f t="shared" si="3"/>
        <v>0.99999999999999978</v>
      </c>
      <c r="J29" s="41">
        <f>$F$6</f>
        <v>6.5</v>
      </c>
      <c r="K29" s="1"/>
      <c r="L29" s="43">
        <f t="shared" si="2"/>
        <v>46174</v>
      </c>
      <c r="M29" s="26">
        <f>SUMIFS(Invoices[Total (SAR)],Invoices[Invoice Date],"&gt;="&amp;$L29,Invoices[Invoice Date],"&lt;"&amp;EDATE($L29,1),Invoices[Doc Type],"Invoice")</f>
        <v>514008.14999999997</v>
      </c>
      <c r="N29" s="26">
        <f>SUMIFS(Invoices[Total (SAR)],Invoices[Invoice Date],"&gt;="&amp;$L29,Invoices[Invoice Date],"&lt;"&amp;EDATE($L29,1),Invoices[Status],"Paid")</f>
        <v>514008.14999999997</v>
      </c>
      <c r="O29" s="26">
        <f>SUMIFS(Invoices[Total (SAR)],Invoices[Invoice Date],"&gt;="&amp;$L29,Invoices[Invoice Date],"&lt;"&amp;EDATE($L29,1),Invoices[Status],"Open")</f>
        <v>0</v>
      </c>
      <c r="P29" s="1"/>
      <c r="Q29" s="1"/>
    </row>
    <row r="30" spans="1:17" ht="18" customHeight="1" thickTop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43">
        <f t="shared" si="2"/>
        <v>46204</v>
      </c>
      <c r="M30" s="26">
        <f>SUMIFS(Invoices[Total (SAR)],Invoices[Invoice Date],"&gt;="&amp;$L30,Invoices[Invoice Date],"&lt;"&amp;EDATE($L30,1),Invoices[Doc Type],"Invoice")</f>
        <v>324658.26000000013</v>
      </c>
      <c r="N30" s="26">
        <f>SUMIFS(Invoices[Total (SAR)],Invoices[Invoice Date],"&gt;="&amp;$L30,Invoices[Invoice Date],"&lt;"&amp;EDATE($L30,1),Invoices[Status],"Paid")</f>
        <v>320076.19000000006</v>
      </c>
      <c r="O30" s="26">
        <f>SUMIFS(Invoices[Total (SAR)],Invoices[Invoice Date],"&gt;="&amp;$L30,Invoices[Invoice Date],"&lt;"&amp;EDATE($L30,1),Invoices[Status],"Open")</f>
        <v>4582.07</v>
      </c>
      <c r="P30" s="1"/>
      <c r="Q30" s="1"/>
    </row>
    <row r="31" spans="1:17" ht="18" customHeight="1" x14ac:dyDescent="0.25">
      <c r="A31" s="1"/>
      <c r="B31" s="19" t="s">
        <v>813</v>
      </c>
      <c r="C31" s="1"/>
      <c r="D31" s="1"/>
      <c r="E31" s="1"/>
      <c r="F31" s="1"/>
      <c r="G31" s="1"/>
      <c r="H31" s="1"/>
      <c r="I31" s="1"/>
      <c r="J31" s="1"/>
      <c r="K31" s="1"/>
      <c r="L31" s="43">
        <f t="shared" si="2"/>
        <v>46235</v>
      </c>
      <c r="M31" s="26">
        <f>SUMIFS(Invoices[Total (SAR)],Invoices[Invoice Date],"&gt;="&amp;$L31,Invoices[Invoice Date],"&lt;"&amp;EDATE($L31,1),Invoices[Doc Type],"Invoice")</f>
        <v>452221.47000000003</v>
      </c>
      <c r="N31" s="26">
        <f>SUMIFS(Invoices[Total (SAR)],Invoices[Invoice Date],"&gt;="&amp;$L31,Invoices[Invoice Date],"&lt;"&amp;EDATE($L31,1),Invoices[Status],"Paid")</f>
        <v>377788.47000000003</v>
      </c>
      <c r="O31" s="26">
        <f>SUMIFS(Invoices[Total (SAR)],Invoices[Invoice Date],"&gt;="&amp;$L31,Invoices[Invoice Date],"&lt;"&amp;EDATE($L31,1),Invoices[Status],"Open")</f>
        <v>74433</v>
      </c>
      <c r="P31" s="1"/>
      <c r="Q31" s="1"/>
    </row>
    <row r="32" spans="1:17" ht="18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44">
        <f t="shared" si="2"/>
        <v>46266</v>
      </c>
      <c r="M32" s="27">
        <f>SUMIFS(Invoices[Total (SAR)],Invoices[Invoice Date],"&gt;="&amp;$L32,Invoices[Invoice Date],"&lt;"&amp;EDATE($L32,1),Invoices[Doc Type],"Invoice")</f>
        <v>470019.92999999993</v>
      </c>
      <c r="N32" s="27">
        <f>SUMIFS(Invoices[Total (SAR)],Invoices[Invoice Date],"&gt;="&amp;$L32,Invoices[Invoice Date],"&lt;"&amp;EDATE($L32,1),Invoices[Status],"Paid")</f>
        <v>58581.91</v>
      </c>
      <c r="O32" s="27">
        <f>SUMIFS(Invoices[Total (SAR)],Invoices[Invoice Date],"&gt;="&amp;$L32,Invoices[Invoice Date],"&lt;"&amp;EDATE($L32,1),Invoices[Status],"Open")</f>
        <v>411438.01999999996</v>
      </c>
      <c r="P32" s="1"/>
      <c r="Q32" s="1"/>
    </row>
    <row r="33" spans="1:17" ht="18" customHeight="1" thickBo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4" t="s">
        <v>808</v>
      </c>
      <c r="M33" s="28">
        <f>SUM(M21:M32)</f>
        <v>5747798.6599999992</v>
      </c>
      <c r="N33" s="28">
        <f>SUM(N21:N32)</f>
        <v>5239562.54</v>
      </c>
      <c r="O33" s="28">
        <f>SUM(O21:O32)</f>
        <v>508236.12</v>
      </c>
      <c r="P33" s="1"/>
      <c r="Q33" s="1"/>
    </row>
    <row r="34" spans="1:17" ht="15" thickTop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">
      <c r="A52" s="1"/>
      <c r="B52" s="48" t="s">
        <v>814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</sheetData>
  <conditionalFormatting sqref="E9:E28">
    <cfRule type="dataBar" priority="1">
      <dataBar>
        <cfvo type="min"/>
        <cfvo type="max"/>
        <color rgb="FFB4C6E7"/>
      </dataBar>
      <extLst>
        <ext xmlns:x14="http://schemas.microsoft.com/office/spreadsheetml/2009/9/main" uri="{B025F937-C7B1-47D3-B67F-A62EFF666E3E}">
          <x14:id>{D35C9576-44A7-44DC-8851-E03B302BF5B0}</x14:id>
        </ext>
      </extLst>
    </cfRule>
  </conditionalFormatting>
  <conditionalFormatting sqref="G9:G28">
    <cfRule type="cellIs" dxfId="9" priority="3" operator="greaterThan">
      <formula>0</formula>
    </cfRule>
  </conditionalFormatting>
  <conditionalFormatting sqref="J9:J28">
    <cfRule type="cellIs" dxfId="8" priority="4" operator="greaterThan">
      <formula>10</formula>
    </cfRule>
  </conditionalFormatting>
  <conditionalFormatting sqref="N9:N16">
    <cfRule type="dataBar" priority="2">
      <dataBar>
        <cfvo type="min"/>
        <cfvo type="max"/>
        <color rgb="FFB4C6E7"/>
      </dataBar>
      <extLst>
        <ext xmlns:x14="http://schemas.microsoft.com/office/spreadsheetml/2009/9/main" uri="{B025F937-C7B1-47D3-B67F-A62EFF666E3E}">
          <x14:id>{5C811BE2-FCE3-4EEA-9884-26F1984BFB17}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5C9576-44A7-44DC-8851-E03B302BF5B0}">
            <x14:dataBar minLength="0" maxLength="100" gradient="0" direction="leftToRight" negativeBarColorSameAsPositive="1" axisPosition="none">
              <x14:cfvo type="min"/>
              <x14:cfvo type="max"/>
            </x14:dataBar>
          </x14:cfRule>
          <xm:sqref>E9:E28</xm:sqref>
        </x14:conditionalFormatting>
        <x14:conditionalFormatting xmlns:xm="http://schemas.microsoft.com/office/excel/2006/main">
          <x14:cfRule type="dataBar" id="{5C811BE2-FCE3-4EEA-9884-26F1984BFB17}">
            <x14:dataBar minLength="0" maxLength="100" gradient="0" negativeBarColorSameAsPositive="1" axisPosition="none">
              <x14:cfvo type="min"/>
              <x14:cfvo type="max"/>
            </x14:dataBar>
          </x14:cfRule>
          <xm:sqref>N9:N16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3522-30F1-480E-99C1-7E40A1918CA5}">
  <sheetPr>
    <tabColor rgb="FF1F3864"/>
  </sheetPr>
  <dimension ref="A1:N759"/>
  <sheetViews>
    <sheetView showGridLines="0" tabSelected="1" workbookViewId="0">
      <pane xSplit="1" ySplit="4" topLeftCell="C307" activePane="bottomRight" state="frozen"/>
      <selection pane="topRight" activeCell="B1" sqref="B1"/>
      <selection pane="bottomLeft" activeCell="A5" sqref="A5"/>
      <selection pane="bottomRight" activeCell="P29" sqref="P29"/>
    </sheetView>
  </sheetViews>
  <sheetFormatPr defaultRowHeight="14.25" x14ac:dyDescent="0.2"/>
  <cols>
    <col min="1" max="1" width="14.125" customWidth="1"/>
    <col min="2" max="2" width="15" customWidth="1"/>
    <col min="3" max="3" width="25.875" customWidth="1"/>
    <col min="4" max="4" width="15" customWidth="1"/>
    <col min="5" max="5" width="10.375" customWidth="1"/>
    <col min="6" max="6" width="15" customWidth="1"/>
    <col min="7" max="7" width="14.125" customWidth="1"/>
    <col min="8" max="8" width="13" customWidth="1"/>
    <col min="9" max="9" width="15" customWidth="1"/>
    <col min="10" max="10" width="10.875" customWidth="1"/>
    <col min="11" max="11" width="15" customWidth="1"/>
    <col min="12" max="12" width="13.625" customWidth="1"/>
    <col min="13" max="13" width="10.875" customWidth="1"/>
    <col min="14" max="14" width="14.125" customWidth="1"/>
  </cols>
  <sheetData>
    <row r="1" spans="1:14" ht="27.95" customHeight="1" x14ac:dyDescent="0.35">
      <c r="A1" s="2" t="s">
        <v>795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.100000000000001" customHeight="1" thickBot="1" x14ac:dyDescent="0.25">
      <c r="A2" s="3" t="str">
        <f>"Invoices: "&amp;TEXT(ROWS(Invoices[Invoice No]),"#,##0")&amp;"   |   Period: "&amp;TEXT(MIN(Invoices[Invoice Date]),"dd-mmm-yyyy")&amp;" to "&amp;TEXT(MAX(Invoices[Invoice Date]),"dd-mmm-yyyy")&amp;"   |   All amounts in SAR"</f>
        <v>Invoices: 748   |   Period: 01-Oct-2025 to 29-Sep-2026   |   All amounts in SAR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0.100000000000001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30" customHeight="1" x14ac:dyDescent="0.2">
      <c r="A4" s="5" t="s">
        <v>781</v>
      </c>
      <c r="B4" s="5" t="s">
        <v>782</v>
      </c>
      <c r="C4" s="5" t="s">
        <v>783</v>
      </c>
      <c r="D4" s="5" t="s">
        <v>784</v>
      </c>
      <c r="E4" s="5" t="s">
        <v>785</v>
      </c>
      <c r="F4" s="5" t="s">
        <v>786</v>
      </c>
      <c r="G4" s="5" t="s">
        <v>787</v>
      </c>
      <c r="H4" s="5" t="s">
        <v>788</v>
      </c>
      <c r="I4" s="5" t="s">
        <v>789</v>
      </c>
      <c r="J4" s="5" t="s">
        <v>790</v>
      </c>
      <c r="K4" s="5" t="s">
        <v>791</v>
      </c>
      <c r="L4" s="5" t="s">
        <v>792</v>
      </c>
      <c r="M4" s="5" t="s">
        <v>793</v>
      </c>
      <c r="N4" s="5" t="s">
        <v>794</v>
      </c>
    </row>
    <row r="5" spans="1:14" ht="17.100000000000001" customHeight="1" x14ac:dyDescent="0.2">
      <c r="A5" s="6" t="s">
        <v>0</v>
      </c>
      <c r="B5" s="7">
        <v>45931</v>
      </c>
      <c r="C5" s="8" t="s">
        <v>13</v>
      </c>
      <c r="D5" s="8" t="s">
        <v>1</v>
      </c>
      <c r="E5" s="9">
        <v>30</v>
      </c>
      <c r="F5" s="7">
        <v>45961</v>
      </c>
      <c r="G5" s="10">
        <v>5597.48</v>
      </c>
      <c r="H5" s="10">
        <v>839.62</v>
      </c>
      <c r="I5" s="10">
        <v>6437.1</v>
      </c>
      <c r="J5" s="9" t="s">
        <v>2</v>
      </c>
      <c r="K5" s="7">
        <v>45959</v>
      </c>
      <c r="L5" s="9" t="s">
        <v>3</v>
      </c>
      <c r="M5" s="11" cm="1">
        <f t="array" ref="M5">IF(Invoices[[#This Row],[Status]]="Open",MAX(0,AsOf-Invoices[[#This Row],[Due Date]]),IF(Invoices[[#This Row],[Paid Date]]="","",MAX(0,Invoices[[#This Row],[Paid Date]]-Invoices[[#This Row],[Due Date]])))</f>
        <v>0</v>
      </c>
      <c r="N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" spans="1:14" ht="17.100000000000001" customHeight="1" x14ac:dyDescent="0.2">
      <c r="A6" s="6" t="s">
        <v>4</v>
      </c>
      <c r="B6" s="7">
        <v>45931</v>
      </c>
      <c r="C6" s="8" t="s">
        <v>5</v>
      </c>
      <c r="D6" s="8" t="s">
        <v>6</v>
      </c>
      <c r="E6" s="9">
        <v>45</v>
      </c>
      <c r="F6" s="7">
        <v>45976</v>
      </c>
      <c r="G6" s="10">
        <v>8421.98</v>
      </c>
      <c r="H6" s="10">
        <v>1263.3</v>
      </c>
      <c r="I6" s="10">
        <v>9685.2800000000007</v>
      </c>
      <c r="J6" s="9" t="s">
        <v>2</v>
      </c>
      <c r="K6" s="7">
        <v>45979</v>
      </c>
      <c r="L6" s="9" t="s">
        <v>3</v>
      </c>
      <c r="M6" s="11" cm="1">
        <f t="array" ref="M6">IF(Invoices[[#This Row],[Status]]="Open",MAX(0,AsOf-Invoices[[#This Row],[Due Date]]),IF(Invoices[[#This Row],[Paid Date]]="","",MAX(0,Invoices[[#This Row],[Paid Date]]-Invoices[[#This Row],[Due Date]])))</f>
        <v>3</v>
      </c>
      <c r="N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" spans="1:14" ht="17.100000000000001" customHeight="1" x14ac:dyDescent="0.2">
      <c r="A7" s="6" t="s">
        <v>7</v>
      </c>
      <c r="B7" s="7">
        <v>45932</v>
      </c>
      <c r="C7" s="8" t="s">
        <v>8</v>
      </c>
      <c r="D7" s="8" t="s">
        <v>6</v>
      </c>
      <c r="E7" s="9">
        <v>45</v>
      </c>
      <c r="F7" s="7">
        <v>45977</v>
      </c>
      <c r="G7" s="10">
        <v>8958.25</v>
      </c>
      <c r="H7" s="10">
        <v>1343.74</v>
      </c>
      <c r="I7" s="10">
        <v>10301.99</v>
      </c>
      <c r="J7" s="9" t="s">
        <v>2</v>
      </c>
      <c r="K7" s="7">
        <v>45978</v>
      </c>
      <c r="L7" s="9" t="s">
        <v>3</v>
      </c>
      <c r="M7" s="11" cm="1">
        <f t="array" ref="M7">IF(Invoices[[#This Row],[Status]]="Open",MAX(0,AsOf-Invoices[[#This Row],[Due Date]]),IF(Invoices[[#This Row],[Paid Date]]="","",MAX(0,Invoices[[#This Row],[Paid Date]]-Invoices[[#This Row],[Due Date]])))</f>
        <v>1</v>
      </c>
      <c r="N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8" spans="1:14" ht="17.100000000000001" customHeight="1" x14ac:dyDescent="0.2">
      <c r="A8" s="6" t="s">
        <v>9</v>
      </c>
      <c r="B8" s="7">
        <v>45932</v>
      </c>
      <c r="C8" s="8" t="s">
        <v>10</v>
      </c>
      <c r="D8" s="8" t="s">
        <v>11</v>
      </c>
      <c r="E8" s="9">
        <v>30</v>
      </c>
      <c r="F8" s="7">
        <v>45962</v>
      </c>
      <c r="G8" s="10">
        <v>4683.8999999999996</v>
      </c>
      <c r="H8" s="10">
        <v>702.58</v>
      </c>
      <c r="I8" s="10">
        <v>5386.48</v>
      </c>
      <c r="J8" s="9" t="s">
        <v>2</v>
      </c>
      <c r="K8" s="7">
        <v>46027</v>
      </c>
      <c r="L8" s="9" t="s">
        <v>3</v>
      </c>
      <c r="M8" s="11" cm="1">
        <f t="array" ref="M8">IF(Invoices[[#This Row],[Status]]="Open",MAX(0,AsOf-Invoices[[#This Row],[Due Date]]),IF(Invoices[[#This Row],[Paid Date]]="","",MAX(0,Invoices[[#This Row],[Paid Date]]-Invoices[[#This Row],[Due Date]])))</f>
        <v>65</v>
      </c>
      <c r="N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9" spans="1:14" ht="17.100000000000001" customHeight="1" x14ac:dyDescent="0.2">
      <c r="A9" s="6" t="s">
        <v>12</v>
      </c>
      <c r="B9" s="7">
        <v>45932</v>
      </c>
      <c r="C9" s="8" t="s">
        <v>13</v>
      </c>
      <c r="D9" s="8" t="s">
        <v>1</v>
      </c>
      <c r="E9" s="9">
        <v>30</v>
      </c>
      <c r="F9" s="7">
        <v>45962</v>
      </c>
      <c r="G9" s="10">
        <v>3046.98</v>
      </c>
      <c r="H9" s="10">
        <v>457.05</v>
      </c>
      <c r="I9" s="10">
        <v>3504.03</v>
      </c>
      <c r="J9" s="9" t="s">
        <v>2</v>
      </c>
      <c r="K9" s="7">
        <v>45957</v>
      </c>
      <c r="L9" s="9" t="s">
        <v>3</v>
      </c>
      <c r="M9" s="11" cm="1">
        <f t="array" ref="M9">IF(Invoices[[#This Row],[Status]]="Open",MAX(0,AsOf-Invoices[[#This Row],[Due Date]]),IF(Invoices[[#This Row],[Paid Date]]="","",MAX(0,Invoices[[#This Row],[Paid Date]]-Invoices[[#This Row],[Due Date]])))</f>
        <v>0</v>
      </c>
      <c r="N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0" spans="1:14" ht="17.100000000000001" customHeight="1" x14ac:dyDescent="0.2">
      <c r="A10" s="6" t="s">
        <v>14</v>
      </c>
      <c r="B10" s="7">
        <v>45932</v>
      </c>
      <c r="C10" s="8" t="s">
        <v>8</v>
      </c>
      <c r="D10" s="8" t="s">
        <v>6</v>
      </c>
      <c r="E10" s="9">
        <v>45</v>
      </c>
      <c r="F10" s="7">
        <v>45977</v>
      </c>
      <c r="G10" s="10">
        <v>5612.54</v>
      </c>
      <c r="H10" s="10">
        <v>841.88</v>
      </c>
      <c r="I10" s="10">
        <v>6454.42</v>
      </c>
      <c r="J10" s="9" t="s">
        <v>2</v>
      </c>
      <c r="K10" s="7">
        <v>45978</v>
      </c>
      <c r="L10" s="9" t="s">
        <v>3</v>
      </c>
      <c r="M10" s="11" cm="1">
        <f t="array" ref="M10">IF(Invoices[[#This Row],[Status]]="Open",MAX(0,AsOf-Invoices[[#This Row],[Due Date]]),IF(Invoices[[#This Row],[Paid Date]]="","",MAX(0,Invoices[[#This Row],[Paid Date]]-Invoices[[#This Row],[Due Date]])))</f>
        <v>1</v>
      </c>
      <c r="N1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1" spans="1:14" ht="17.100000000000001" customHeight="1" x14ac:dyDescent="0.2">
      <c r="A11" s="6" t="s">
        <v>15</v>
      </c>
      <c r="B11" s="7">
        <v>45932</v>
      </c>
      <c r="C11" s="8" t="s">
        <v>16</v>
      </c>
      <c r="D11" s="8" t="s">
        <v>17</v>
      </c>
      <c r="E11" s="9">
        <v>30</v>
      </c>
      <c r="F11" s="7">
        <v>45962</v>
      </c>
      <c r="G11" s="10">
        <v>3783.98</v>
      </c>
      <c r="H11" s="10">
        <v>567.6</v>
      </c>
      <c r="I11" s="10">
        <v>4351.58</v>
      </c>
      <c r="J11" s="9" t="s">
        <v>2</v>
      </c>
      <c r="K11" s="7">
        <v>45966</v>
      </c>
      <c r="L11" s="9" t="s">
        <v>3</v>
      </c>
      <c r="M11" s="11" cm="1">
        <f t="array" ref="M11">IF(Invoices[[#This Row],[Status]]="Open",MAX(0,AsOf-Invoices[[#This Row],[Due Date]]),IF(Invoices[[#This Row],[Paid Date]]="","",MAX(0,Invoices[[#This Row],[Paid Date]]-Invoices[[#This Row],[Due Date]])))</f>
        <v>4</v>
      </c>
      <c r="N1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2" spans="1:14" ht="17.100000000000001" customHeight="1" x14ac:dyDescent="0.2">
      <c r="A12" s="6" t="s">
        <v>18</v>
      </c>
      <c r="B12" s="7">
        <v>45935</v>
      </c>
      <c r="C12" s="8" t="s">
        <v>5</v>
      </c>
      <c r="D12" s="8" t="s">
        <v>6</v>
      </c>
      <c r="E12" s="9">
        <v>45</v>
      </c>
      <c r="F12" s="7">
        <v>45980</v>
      </c>
      <c r="G12" s="10">
        <v>7161.34</v>
      </c>
      <c r="H12" s="10">
        <v>1074.2</v>
      </c>
      <c r="I12" s="10">
        <v>8235.5400000000009</v>
      </c>
      <c r="J12" s="9" t="s">
        <v>2</v>
      </c>
      <c r="K12" s="7">
        <v>45986</v>
      </c>
      <c r="L12" s="9" t="s">
        <v>3</v>
      </c>
      <c r="M12" s="11" cm="1">
        <f t="array" ref="M12">IF(Invoices[[#This Row],[Status]]="Open",MAX(0,AsOf-Invoices[[#This Row],[Due Date]]),IF(Invoices[[#This Row],[Paid Date]]="","",MAX(0,Invoices[[#This Row],[Paid Date]]-Invoices[[#This Row],[Due Date]])))</f>
        <v>6</v>
      </c>
      <c r="N1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3" spans="1:14" ht="17.100000000000001" customHeight="1" x14ac:dyDescent="0.2">
      <c r="A13" s="6" t="s">
        <v>19</v>
      </c>
      <c r="B13" s="7">
        <v>45935</v>
      </c>
      <c r="C13" s="8" t="s">
        <v>20</v>
      </c>
      <c r="D13" s="8" t="s">
        <v>21</v>
      </c>
      <c r="E13" s="9">
        <v>30</v>
      </c>
      <c r="F13" s="7">
        <v>45965</v>
      </c>
      <c r="G13" s="10">
        <v>4976.92</v>
      </c>
      <c r="H13" s="10">
        <v>746.54</v>
      </c>
      <c r="I13" s="10">
        <v>5723.46</v>
      </c>
      <c r="J13" s="9" t="s">
        <v>2</v>
      </c>
      <c r="K13" s="7">
        <v>45963</v>
      </c>
      <c r="L13" s="9" t="s">
        <v>3</v>
      </c>
      <c r="M13" s="11" cm="1">
        <f t="array" ref="M13">IF(Invoices[[#This Row],[Status]]="Open",MAX(0,AsOf-Invoices[[#This Row],[Due Date]]),IF(Invoices[[#This Row],[Paid Date]]="","",MAX(0,Invoices[[#This Row],[Paid Date]]-Invoices[[#This Row],[Due Date]])))</f>
        <v>0</v>
      </c>
      <c r="N1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4" spans="1:14" ht="17.100000000000001" customHeight="1" x14ac:dyDescent="0.2">
      <c r="A14" s="6" t="s">
        <v>22</v>
      </c>
      <c r="B14" s="7">
        <v>45935</v>
      </c>
      <c r="C14" s="8" t="s">
        <v>16</v>
      </c>
      <c r="D14" s="8" t="s">
        <v>17</v>
      </c>
      <c r="E14" s="9">
        <v>30</v>
      </c>
      <c r="F14" s="7">
        <v>45965</v>
      </c>
      <c r="G14" s="10">
        <v>10734.04</v>
      </c>
      <c r="H14" s="10">
        <v>1610.11</v>
      </c>
      <c r="I14" s="10">
        <v>12344.15</v>
      </c>
      <c r="J14" s="9" t="s">
        <v>2</v>
      </c>
      <c r="K14" s="7">
        <v>45978</v>
      </c>
      <c r="L14" s="9" t="s">
        <v>3</v>
      </c>
      <c r="M14" s="11" cm="1">
        <f t="array" ref="M14">IF(Invoices[[#This Row],[Status]]="Open",MAX(0,AsOf-Invoices[[#This Row],[Due Date]]),IF(Invoices[[#This Row],[Paid Date]]="","",MAX(0,Invoices[[#This Row],[Paid Date]]-Invoices[[#This Row],[Due Date]])))</f>
        <v>13</v>
      </c>
      <c r="N1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5" spans="1:14" ht="17.100000000000001" customHeight="1" x14ac:dyDescent="0.2">
      <c r="A15" s="6" t="s">
        <v>23</v>
      </c>
      <c r="B15" s="7">
        <v>45935</v>
      </c>
      <c r="C15" s="8" t="s">
        <v>24</v>
      </c>
      <c r="D15" s="8" t="s">
        <v>25</v>
      </c>
      <c r="E15" s="9">
        <v>60</v>
      </c>
      <c r="F15" s="7">
        <v>45995</v>
      </c>
      <c r="G15" s="10">
        <v>12515.4</v>
      </c>
      <c r="H15" s="10">
        <v>1877.31</v>
      </c>
      <c r="I15" s="10">
        <v>14392.71</v>
      </c>
      <c r="J15" s="9" t="s">
        <v>2</v>
      </c>
      <c r="K15" s="7">
        <v>45996</v>
      </c>
      <c r="L15" s="9" t="s">
        <v>3</v>
      </c>
      <c r="M15" s="11" cm="1">
        <f t="array" ref="M15">IF(Invoices[[#This Row],[Status]]="Open",MAX(0,AsOf-Invoices[[#This Row],[Due Date]]),IF(Invoices[[#This Row],[Paid Date]]="","",MAX(0,Invoices[[#This Row],[Paid Date]]-Invoices[[#This Row],[Due Date]])))</f>
        <v>1</v>
      </c>
      <c r="N1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6" spans="1:14" ht="17.100000000000001" customHeight="1" x14ac:dyDescent="0.2">
      <c r="A16" s="6" t="s">
        <v>26</v>
      </c>
      <c r="B16" s="7">
        <v>45936</v>
      </c>
      <c r="C16" s="8" t="s">
        <v>31</v>
      </c>
      <c r="D16" s="8" t="s">
        <v>6</v>
      </c>
      <c r="E16" s="9">
        <v>60</v>
      </c>
      <c r="F16" s="7">
        <v>45996</v>
      </c>
      <c r="G16" s="10">
        <v>7398.51</v>
      </c>
      <c r="H16" s="10">
        <v>1109.78</v>
      </c>
      <c r="I16" s="10">
        <v>8508.2900000000009</v>
      </c>
      <c r="J16" s="9" t="s">
        <v>2</v>
      </c>
      <c r="K16" s="7">
        <v>45992</v>
      </c>
      <c r="L16" s="9" t="s">
        <v>3</v>
      </c>
      <c r="M16" s="11" cm="1">
        <f t="array" ref="M16">IF(Invoices[[#This Row],[Status]]="Open",MAX(0,AsOf-Invoices[[#This Row],[Due Date]]),IF(Invoices[[#This Row],[Paid Date]]="","",MAX(0,Invoices[[#This Row],[Paid Date]]-Invoices[[#This Row],[Due Date]])))</f>
        <v>0</v>
      </c>
      <c r="N1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7" spans="1:14" ht="17.100000000000001" customHeight="1" x14ac:dyDescent="0.2">
      <c r="A17" s="6" t="s">
        <v>27</v>
      </c>
      <c r="B17" s="7">
        <v>45936</v>
      </c>
      <c r="C17" s="8" t="s">
        <v>13</v>
      </c>
      <c r="D17" s="8" t="s">
        <v>1</v>
      </c>
      <c r="E17" s="9">
        <v>30</v>
      </c>
      <c r="F17" s="7">
        <v>45966</v>
      </c>
      <c r="G17" s="10">
        <v>2205.8000000000002</v>
      </c>
      <c r="H17" s="10">
        <v>330.87</v>
      </c>
      <c r="I17" s="10">
        <v>2536.67</v>
      </c>
      <c r="J17" s="9" t="s">
        <v>2</v>
      </c>
      <c r="K17" s="7">
        <v>45971</v>
      </c>
      <c r="L17" s="9" t="s">
        <v>3</v>
      </c>
      <c r="M17" s="11" cm="1">
        <f t="array" ref="M17">IF(Invoices[[#This Row],[Status]]="Open",MAX(0,AsOf-Invoices[[#This Row],[Due Date]]),IF(Invoices[[#This Row],[Paid Date]]="","",MAX(0,Invoices[[#This Row],[Paid Date]]-Invoices[[#This Row],[Due Date]])))</f>
        <v>5</v>
      </c>
      <c r="N1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8" spans="1:14" ht="17.100000000000001" customHeight="1" x14ac:dyDescent="0.2">
      <c r="A18" s="6" t="s">
        <v>28</v>
      </c>
      <c r="B18" s="7">
        <v>45936</v>
      </c>
      <c r="C18" s="8" t="s">
        <v>13</v>
      </c>
      <c r="D18" s="8" t="s">
        <v>1</v>
      </c>
      <c r="E18" s="9">
        <v>30</v>
      </c>
      <c r="F18" s="7">
        <v>45966</v>
      </c>
      <c r="G18" s="10">
        <v>4715.16</v>
      </c>
      <c r="H18" s="10">
        <v>707.27</v>
      </c>
      <c r="I18" s="10">
        <v>5422.43</v>
      </c>
      <c r="J18" s="9" t="s">
        <v>2</v>
      </c>
      <c r="K18" s="7">
        <v>45966</v>
      </c>
      <c r="L18" s="9" t="s">
        <v>3</v>
      </c>
      <c r="M18" s="11" cm="1">
        <f t="array" ref="M18">IF(Invoices[[#This Row],[Status]]="Open",MAX(0,AsOf-Invoices[[#This Row],[Due Date]]),IF(Invoices[[#This Row],[Paid Date]]="","",MAX(0,Invoices[[#This Row],[Paid Date]]-Invoices[[#This Row],[Due Date]])))</f>
        <v>0</v>
      </c>
      <c r="N1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9" spans="1:14" ht="17.100000000000001" customHeight="1" x14ac:dyDescent="0.2">
      <c r="A19" s="6" t="s">
        <v>29</v>
      </c>
      <c r="B19" s="7">
        <v>45937</v>
      </c>
      <c r="C19" s="8" t="s">
        <v>8</v>
      </c>
      <c r="D19" s="8" t="s">
        <v>6</v>
      </c>
      <c r="E19" s="9">
        <v>45</v>
      </c>
      <c r="F19" s="7">
        <v>45982</v>
      </c>
      <c r="G19" s="10">
        <v>11658.86</v>
      </c>
      <c r="H19" s="10">
        <v>1748.83</v>
      </c>
      <c r="I19" s="10">
        <v>13407.69</v>
      </c>
      <c r="J19" s="9" t="s">
        <v>2</v>
      </c>
      <c r="K19" s="7">
        <v>45982</v>
      </c>
      <c r="L19" s="9" t="s">
        <v>3</v>
      </c>
      <c r="M19" s="11" cm="1">
        <f t="array" ref="M19">IF(Invoices[[#This Row],[Status]]="Open",MAX(0,AsOf-Invoices[[#This Row],[Due Date]]),IF(Invoices[[#This Row],[Paid Date]]="","",MAX(0,Invoices[[#This Row],[Paid Date]]-Invoices[[#This Row],[Due Date]])))</f>
        <v>0</v>
      </c>
      <c r="N1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0" spans="1:14" ht="17.100000000000001" customHeight="1" x14ac:dyDescent="0.2">
      <c r="A20" s="6" t="s">
        <v>30</v>
      </c>
      <c r="B20" s="7">
        <v>45937</v>
      </c>
      <c r="C20" s="8" t="s">
        <v>31</v>
      </c>
      <c r="D20" s="8" t="s">
        <v>6</v>
      </c>
      <c r="E20" s="9">
        <v>60</v>
      </c>
      <c r="F20" s="7">
        <v>45997</v>
      </c>
      <c r="G20" s="10">
        <v>8771.16</v>
      </c>
      <c r="H20" s="10">
        <v>1315.67</v>
      </c>
      <c r="I20" s="10">
        <v>10086.83</v>
      </c>
      <c r="J20" s="9" t="s">
        <v>2</v>
      </c>
      <c r="K20" s="7">
        <v>45995</v>
      </c>
      <c r="L20" s="9" t="s">
        <v>3</v>
      </c>
      <c r="M20" s="11" cm="1">
        <f t="array" ref="M20">IF(Invoices[[#This Row],[Status]]="Open",MAX(0,AsOf-Invoices[[#This Row],[Due Date]]),IF(Invoices[[#This Row],[Paid Date]]="","",MAX(0,Invoices[[#This Row],[Paid Date]]-Invoices[[#This Row],[Due Date]])))</f>
        <v>0</v>
      </c>
      <c r="N2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1" spans="1:14" ht="17.100000000000001" customHeight="1" x14ac:dyDescent="0.2">
      <c r="A21" s="6" t="s">
        <v>32</v>
      </c>
      <c r="B21" s="7">
        <v>45937</v>
      </c>
      <c r="C21" s="8" t="s">
        <v>16</v>
      </c>
      <c r="D21" s="8" t="s">
        <v>17</v>
      </c>
      <c r="E21" s="9">
        <v>30</v>
      </c>
      <c r="F21" s="7">
        <v>45967</v>
      </c>
      <c r="G21" s="10">
        <v>1957.28</v>
      </c>
      <c r="H21" s="10">
        <v>293.58999999999997</v>
      </c>
      <c r="I21" s="10">
        <v>2250.87</v>
      </c>
      <c r="J21" s="9" t="s">
        <v>2</v>
      </c>
      <c r="K21" s="7">
        <v>45978</v>
      </c>
      <c r="L21" s="9" t="s">
        <v>3</v>
      </c>
      <c r="M21" s="11" cm="1">
        <f t="array" ref="M21">IF(Invoices[[#This Row],[Status]]="Open",MAX(0,AsOf-Invoices[[#This Row],[Due Date]]),IF(Invoices[[#This Row],[Paid Date]]="","",MAX(0,Invoices[[#This Row],[Paid Date]]-Invoices[[#This Row],[Due Date]])))</f>
        <v>11</v>
      </c>
      <c r="N2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2" spans="1:14" ht="17.100000000000001" customHeight="1" x14ac:dyDescent="0.2">
      <c r="A22" s="6" t="s">
        <v>33</v>
      </c>
      <c r="B22" s="7">
        <v>45938</v>
      </c>
      <c r="C22" s="8" t="s">
        <v>34</v>
      </c>
      <c r="D22" s="8" t="s">
        <v>21</v>
      </c>
      <c r="E22" s="9">
        <v>30</v>
      </c>
      <c r="F22" s="7">
        <v>45968</v>
      </c>
      <c r="G22" s="10">
        <v>4690.5200000000004</v>
      </c>
      <c r="H22" s="10">
        <v>703.58</v>
      </c>
      <c r="I22" s="10">
        <v>5394.1</v>
      </c>
      <c r="J22" s="9" t="s">
        <v>2</v>
      </c>
      <c r="K22" s="7">
        <v>45963</v>
      </c>
      <c r="L22" s="9" t="s">
        <v>3</v>
      </c>
      <c r="M22" s="11" cm="1">
        <f t="array" ref="M22">IF(Invoices[[#This Row],[Status]]="Open",MAX(0,AsOf-Invoices[[#This Row],[Due Date]]),IF(Invoices[[#This Row],[Paid Date]]="","",MAX(0,Invoices[[#This Row],[Paid Date]]-Invoices[[#This Row],[Due Date]])))</f>
        <v>0</v>
      </c>
      <c r="N2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3" spans="1:14" ht="17.100000000000001" customHeight="1" x14ac:dyDescent="0.2">
      <c r="A23" s="6" t="s">
        <v>35</v>
      </c>
      <c r="B23" s="7">
        <v>45938</v>
      </c>
      <c r="C23" s="8" t="s">
        <v>36</v>
      </c>
      <c r="D23" s="8" t="s">
        <v>17</v>
      </c>
      <c r="E23" s="9">
        <v>30</v>
      </c>
      <c r="F23" s="7">
        <v>45968</v>
      </c>
      <c r="G23" s="10">
        <v>2740.88</v>
      </c>
      <c r="H23" s="10">
        <v>411.13</v>
      </c>
      <c r="I23" s="10">
        <v>3152.01</v>
      </c>
      <c r="J23" s="9" t="s">
        <v>2</v>
      </c>
      <c r="K23" s="7">
        <v>45978</v>
      </c>
      <c r="L23" s="9" t="s">
        <v>3</v>
      </c>
      <c r="M23" s="11" cm="1">
        <f t="array" ref="M23">IF(Invoices[[#This Row],[Status]]="Open",MAX(0,AsOf-Invoices[[#This Row],[Due Date]]),IF(Invoices[[#This Row],[Paid Date]]="","",MAX(0,Invoices[[#This Row],[Paid Date]]-Invoices[[#This Row],[Due Date]])))</f>
        <v>10</v>
      </c>
      <c r="N2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4" spans="1:14" ht="17.100000000000001" customHeight="1" x14ac:dyDescent="0.2">
      <c r="A24" s="6" t="s">
        <v>37</v>
      </c>
      <c r="B24" s="7">
        <v>45938</v>
      </c>
      <c r="C24" s="8" t="s">
        <v>38</v>
      </c>
      <c r="D24" s="8" t="s">
        <v>39</v>
      </c>
      <c r="E24" s="9">
        <v>15</v>
      </c>
      <c r="F24" s="7">
        <v>45953</v>
      </c>
      <c r="G24" s="10">
        <v>1053.6199999999999</v>
      </c>
      <c r="H24" s="10">
        <v>158.04</v>
      </c>
      <c r="I24" s="10">
        <v>1211.6600000000001</v>
      </c>
      <c r="J24" s="9" t="s">
        <v>2</v>
      </c>
      <c r="K24" s="7">
        <v>45948</v>
      </c>
      <c r="L24" s="9" t="s">
        <v>3</v>
      </c>
      <c r="M24" s="11" cm="1">
        <f t="array" ref="M24">IF(Invoices[[#This Row],[Status]]="Open",MAX(0,AsOf-Invoices[[#This Row],[Due Date]]),IF(Invoices[[#This Row],[Paid Date]]="","",MAX(0,Invoices[[#This Row],[Paid Date]]-Invoices[[#This Row],[Due Date]])))</f>
        <v>0</v>
      </c>
      <c r="N2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5" spans="1:14" ht="17.100000000000001" customHeight="1" x14ac:dyDescent="0.2">
      <c r="A25" s="6" t="s">
        <v>40</v>
      </c>
      <c r="B25" s="7">
        <v>45938</v>
      </c>
      <c r="C25" s="8" t="s">
        <v>16</v>
      </c>
      <c r="D25" s="8" t="s">
        <v>17</v>
      </c>
      <c r="E25" s="9">
        <v>30</v>
      </c>
      <c r="F25" s="7">
        <v>45968</v>
      </c>
      <c r="G25" s="10">
        <v>3981.9</v>
      </c>
      <c r="H25" s="10">
        <v>597.28</v>
      </c>
      <c r="I25" s="10">
        <v>4579.18</v>
      </c>
      <c r="J25" s="9" t="s">
        <v>2</v>
      </c>
      <c r="K25" s="7">
        <v>45983</v>
      </c>
      <c r="L25" s="9" t="s">
        <v>3</v>
      </c>
      <c r="M25" s="11" cm="1">
        <f t="array" ref="M25">IF(Invoices[[#This Row],[Status]]="Open",MAX(0,AsOf-Invoices[[#This Row],[Due Date]]),IF(Invoices[[#This Row],[Paid Date]]="","",MAX(0,Invoices[[#This Row],[Paid Date]]-Invoices[[#This Row],[Due Date]])))</f>
        <v>15</v>
      </c>
      <c r="N2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6" spans="1:14" ht="17.100000000000001" customHeight="1" x14ac:dyDescent="0.2">
      <c r="A26" s="6" t="s">
        <v>41</v>
      </c>
      <c r="B26" s="7">
        <v>45939</v>
      </c>
      <c r="C26" s="8" t="s">
        <v>31</v>
      </c>
      <c r="D26" s="8" t="s">
        <v>6</v>
      </c>
      <c r="E26" s="9">
        <v>60</v>
      </c>
      <c r="F26" s="7">
        <v>45999</v>
      </c>
      <c r="G26" s="10">
        <v>15923.64</v>
      </c>
      <c r="H26" s="10">
        <v>2388.5500000000002</v>
      </c>
      <c r="I26" s="10">
        <v>18312.189999999999</v>
      </c>
      <c r="J26" s="9" t="s">
        <v>2</v>
      </c>
      <c r="K26" s="7">
        <v>45994</v>
      </c>
      <c r="L26" s="9" t="s">
        <v>3</v>
      </c>
      <c r="M26" s="11" cm="1">
        <f t="array" ref="M26">IF(Invoices[[#This Row],[Status]]="Open",MAX(0,AsOf-Invoices[[#This Row],[Due Date]]),IF(Invoices[[#This Row],[Paid Date]]="","",MAX(0,Invoices[[#This Row],[Paid Date]]-Invoices[[#This Row],[Due Date]])))</f>
        <v>0</v>
      </c>
      <c r="N2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7" spans="1:14" ht="17.100000000000001" customHeight="1" x14ac:dyDescent="0.2">
      <c r="A27" s="6" t="s">
        <v>42</v>
      </c>
      <c r="B27" s="7">
        <v>45939</v>
      </c>
      <c r="C27" s="8" t="s">
        <v>34</v>
      </c>
      <c r="D27" s="8" t="s">
        <v>21</v>
      </c>
      <c r="E27" s="9">
        <v>30</v>
      </c>
      <c r="F27" s="7">
        <v>45969</v>
      </c>
      <c r="G27" s="10">
        <v>2733.77</v>
      </c>
      <c r="H27" s="10">
        <v>410.07</v>
      </c>
      <c r="I27" s="10">
        <v>3143.84</v>
      </c>
      <c r="J27" s="9" t="s">
        <v>2</v>
      </c>
      <c r="K27" s="7">
        <v>45977</v>
      </c>
      <c r="L27" s="9" t="s">
        <v>3</v>
      </c>
      <c r="M27" s="11" cm="1">
        <f t="array" ref="M27">IF(Invoices[[#This Row],[Status]]="Open",MAX(0,AsOf-Invoices[[#This Row],[Due Date]]),IF(Invoices[[#This Row],[Paid Date]]="","",MAX(0,Invoices[[#This Row],[Paid Date]]-Invoices[[#This Row],[Due Date]])))</f>
        <v>8</v>
      </c>
      <c r="N2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8" spans="1:14" ht="17.100000000000001" customHeight="1" x14ac:dyDescent="0.2">
      <c r="A28" s="6" t="s">
        <v>43</v>
      </c>
      <c r="B28" s="7">
        <v>45942</v>
      </c>
      <c r="C28" s="8" t="s">
        <v>24</v>
      </c>
      <c r="D28" s="8" t="s">
        <v>25</v>
      </c>
      <c r="E28" s="9">
        <v>60</v>
      </c>
      <c r="F28" s="7">
        <v>46002</v>
      </c>
      <c r="G28" s="10">
        <v>13233.75</v>
      </c>
      <c r="H28" s="10">
        <v>1985.06</v>
      </c>
      <c r="I28" s="10">
        <v>15218.81</v>
      </c>
      <c r="J28" s="9" t="s">
        <v>2</v>
      </c>
      <c r="K28" s="7">
        <v>46000</v>
      </c>
      <c r="L28" s="9" t="s">
        <v>3</v>
      </c>
      <c r="M28" s="11" cm="1">
        <f t="array" ref="M28">IF(Invoices[[#This Row],[Status]]="Open",MAX(0,AsOf-Invoices[[#This Row],[Due Date]]),IF(Invoices[[#This Row],[Paid Date]]="","",MAX(0,Invoices[[#This Row],[Paid Date]]-Invoices[[#This Row],[Due Date]])))</f>
        <v>0</v>
      </c>
      <c r="N2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9" spans="1:14" ht="17.100000000000001" customHeight="1" x14ac:dyDescent="0.2">
      <c r="A29" s="6" t="s">
        <v>44</v>
      </c>
      <c r="B29" s="7">
        <v>45942</v>
      </c>
      <c r="C29" s="8" t="s">
        <v>45</v>
      </c>
      <c r="D29" s="8" t="s">
        <v>17</v>
      </c>
      <c r="E29" s="9">
        <v>30</v>
      </c>
      <c r="F29" s="7">
        <v>45972</v>
      </c>
      <c r="G29" s="10">
        <v>3595.37</v>
      </c>
      <c r="H29" s="10">
        <v>539.30999999999995</v>
      </c>
      <c r="I29" s="10">
        <v>4134.68</v>
      </c>
      <c r="J29" s="9" t="s">
        <v>2</v>
      </c>
      <c r="K29" s="7">
        <v>45978</v>
      </c>
      <c r="L29" s="9" t="s">
        <v>3</v>
      </c>
      <c r="M29" s="11" cm="1">
        <f t="array" ref="M29">IF(Invoices[[#This Row],[Status]]="Open",MAX(0,AsOf-Invoices[[#This Row],[Due Date]]),IF(Invoices[[#This Row],[Paid Date]]="","",MAX(0,Invoices[[#This Row],[Paid Date]]-Invoices[[#This Row],[Due Date]])))</f>
        <v>6</v>
      </c>
      <c r="N2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0" spans="1:14" ht="17.100000000000001" customHeight="1" x14ac:dyDescent="0.2">
      <c r="A30" s="6" t="s">
        <v>46</v>
      </c>
      <c r="B30" s="7">
        <v>45943</v>
      </c>
      <c r="C30" s="8" t="s">
        <v>24</v>
      </c>
      <c r="D30" s="8" t="s">
        <v>25</v>
      </c>
      <c r="E30" s="9">
        <v>60</v>
      </c>
      <c r="F30" s="7">
        <v>46003</v>
      </c>
      <c r="G30" s="10">
        <v>4138.05</v>
      </c>
      <c r="H30" s="10">
        <v>620.71</v>
      </c>
      <c r="I30" s="10">
        <v>4758.76</v>
      </c>
      <c r="J30" s="9" t="s">
        <v>2</v>
      </c>
      <c r="K30" s="7">
        <v>46014</v>
      </c>
      <c r="L30" s="9" t="s">
        <v>3</v>
      </c>
      <c r="M30" s="11" cm="1">
        <f t="array" ref="M30">IF(Invoices[[#This Row],[Status]]="Open",MAX(0,AsOf-Invoices[[#This Row],[Due Date]]),IF(Invoices[[#This Row],[Paid Date]]="","",MAX(0,Invoices[[#This Row],[Paid Date]]-Invoices[[#This Row],[Due Date]])))</f>
        <v>11</v>
      </c>
      <c r="N3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1" spans="1:14" ht="17.100000000000001" customHeight="1" x14ac:dyDescent="0.2">
      <c r="A31" s="6" t="s">
        <v>47</v>
      </c>
      <c r="B31" s="7">
        <v>45943</v>
      </c>
      <c r="C31" s="8" t="s">
        <v>8</v>
      </c>
      <c r="D31" s="8" t="s">
        <v>6</v>
      </c>
      <c r="E31" s="9">
        <v>45</v>
      </c>
      <c r="F31" s="7">
        <v>45988</v>
      </c>
      <c r="G31" s="10">
        <v>21268.66</v>
      </c>
      <c r="H31" s="10">
        <v>3190.3</v>
      </c>
      <c r="I31" s="10">
        <v>24458.959999999999</v>
      </c>
      <c r="J31" s="9" t="s">
        <v>2</v>
      </c>
      <c r="K31" s="7">
        <v>45983</v>
      </c>
      <c r="L31" s="9" t="s">
        <v>3</v>
      </c>
      <c r="M31" s="11" cm="1">
        <f t="array" ref="M31">IF(Invoices[[#This Row],[Status]]="Open",MAX(0,AsOf-Invoices[[#This Row],[Due Date]]),IF(Invoices[[#This Row],[Paid Date]]="","",MAX(0,Invoices[[#This Row],[Paid Date]]-Invoices[[#This Row],[Due Date]])))</f>
        <v>0</v>
      </c>
      <c r="N3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2" spans="1:14" ht="17.100000000000001" customHeight="1" x14ac:dyDescent="0.2">
      <c r="A32" s="6" t="s">
        <v>48</v>
      </c>
      <c r="B32" s="7">
        <v>45943</v>
      </c>
      <c r="C32" s="8" t="s">
        <v>13</v>
      </c>
      <c r="D32" s="8" t="s">
        <v>1</v>
      </c>
      <c r="E32" s="9">
        <v>30</v>
      </c>
      <c r="F32" s="7">
        <v>45973</v>
      </c>
      <c r="G32" s="10">
        <v>2219.9</v>
      </c>
      <c r="H32" s="10">
        <v>332.99</v>
      </c>
      <c r="I32" s="10">
        <v>2552.89</v>
      </c>
      <c r="J32" s="9" t="s">
        <v>2</v>
      </c>
      <c r="K32" s="7">
        <v>45973</v>
      </c>
      <c r="L32" s="9" t="s">
        <v>3</v>
      </c>
      <c r="M32" s="11" cm="1">
        <f t="array" ref="M32">IF(Invoices[[#This Row],[Status]]="Open",MAX(0,AsOf-Invoices[[#This Row],[Due Date]]),IF(Invoices[[#This Row],[Paid Date]]="","",MAX(0,Invoices[[#This Row],[Paid Date]]-Invoices[[#This Row],[Due Date]])))</f>
        <v>0</v>
      </c>
      <c r="N3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3" spans="1:14" ht="17.100000000000001" customHeight="1" x14ac:dyDescent="0.2">
      <c r="A33" s="6" t="s">
        <v>49</v>
      </c>
      <c r="B33" s="7">
        <v>45943</v>
      </c>
      <c r="C33" s="8" t="s">
        <v>8</v>
      </c>
      <c r="D33" s="8" t="s">
        <v>6</v>
      </c>
      <c r="E33" s="9">
        <v>45</v>
      </c>
      <c r="F33" s="7">
        <v>45988</v>
      </c>
      <c r="G33" s="10">
        <v>19105.509999999998</v>
      </c>
      <c r="H33" s="10">
        <v>2865.83</v>
      </c>
      <c r="I33" s="10">
        <v>21971.34</v>
      </c>
      <c r="J33" s="9" t="s">
        <v>2</v>
      </c>
      <c r="K33" s="7">
        <v>45994</v>
      </c>
      <c r="L33" s="9" t="s">
        <v>3</v>
      </c>
      <c r="M33" s="11" cm="1">
        <f t="array" ref="M33">IF(Invoices[[#This Row],[Status]]="Open",MAX(0,AsOf-Invoices[[#This Row],[Due Date]]),IF(Invoices[[#This Row],[Paid Date]]="","",MAX(0,Invoices[[#This Row],[Paid Date]]-Invoices[[#This Row],[Due Date]])))</f>
        <v>6</v>
      </c>
      <c r="N3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4" spans="1:14" ht="17.100000000000001" customHeight="1" x14ac:dyDescent="0.2">
      <c r="A34" s="6" t="s">
        <v>50</v>
      </c>
      <c r="B34" s="7">
        <v>45944</v>
      </c>
      <c r="C34" s="8" t="s">
        <v>5</v>
      </c>
      <c r="D34" s="8" t="s">
        <v>6</v>
      </c>
      <c r="E34" s="9">
        <v>45</v>
      </c>
      <c r="F34" s="7">
        <v>45989</v>
      </c>
      <c r="G34" s="10">
        <v>9061.84</v>
      </c>
      <c r="H34" s="10">
        <v>1359.28</v>
      </c>
      <c r="I34" s="10">
        <v>10421.120000000001</v>
      </c>
      <c r="J34" s="9" t="s">
        <v>2</v>
      </c>
      <c r="K34" s="7">
        <v>45992</v>
      </c>
      <c r="L34" s="9" t="s">
        <v>3</v>
      </c>
      <c r="M34" s="11" cm="1">
        <f t="array" ref="M34">IF(Invoices[[#This Row],[Status]]="Open",MAX(0,AsOf-Invoices[[#This Row],[Due Date]]),IF(Invoices[[#This Row],[Paid Date]]="","",MAX(0,Invoices[[#This Row],[Paid Date]]-Invoices[[#This Row],[Due Date]])))</f>
        <v>3</v>
      </c>
      <c r="N3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5" spans="1:14" ht="17.100000000000001" customHeight="1" x14ac:dyDescent="0.2">
      <c r="A35" s="6" t="s">
        <v>51</v>
      </c>
      <c r="B35" s="7">
        <v>45944</v>
      </c>
      <c r="C35" s="8" t="s">
        <v>5</v>
      </c>
      <c r="D35" s="8" t="s">
        <v>6</v>
      </c>
      <c r="E35" s="9">
        <v>45</v>
      </c>
      <c r="F35" s="7">
        <v>45989</v>
      </c>
      <c r="G35" s="10">
        <v>7746.59</v>
      </c>
      <c r="H35" s="10">
        <v>1161.99</v>
      </c>
      <c r="I35" s="10">
        <v>8908.58</v>
      </c>
      <c r="J35" s="9" t="s">
        <v>2</v>
      </c>
      <c r="K35" s="7">
        <v>45990</v>
      </c>
      <c r="L35" s="9" t="s">
        <v>3</v>
      </c>
      <c r="M35" s="11" cm="1">
        <f t="array" ref="M35">IF(Invoices[[#This Row],[Status]]="Open",MAX(0,AsOf-Invoices[[#This Row],[Due Date]]),IF(Invoices[[#This Row],[Paid Date]]="","",MAX(0,Invoices[[#This Row],[Paid Date]]-Invoices[[#This Row],[Due Date]])))</f>
        <v>1</v>
      </c>
      <c r="N3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6" spans="1:14" ht="17.100000000000001" customHeight="1" x14ac:dyDescent="0.2">
      <c r="A36" s="6" t="s">
        <v>52</v>
      </c>
      <c r="B36" s="7">
        <v>45945</v>
      </c>
      <c r="C36" s="8" t="s">
        <v>31</v>
      </c>
      <c r="D36" s="8" t="s">
        <v>6</v>
      </c>
      <c r="E36" s="9">
        <v>60</v>
      </c>
      <c r="F36" s="7">
        <v>46005</v>
      </c>
      <c r="G36" s="10">
        <v>14500.71</v>
      </c>
      <c r="H36" s="10">
        <v>2175.11</v>
      </c>
      <c r="I36" s="10">
        <v>16675.82</v>
      </c>
      <c r="J36" s="9" t="s">
        <v>2</v>
      </c>
      <c r="K36" s="7">
        <v>46018</v>
      </c>
      <c r="L36" s="9" t="s">
        <v>3</v>
      </c>
      <c r="M36" s="11" cm="1">
        <f t="array" ref="M36">IF(Invoices[[#This Row],[Status]]="Open",MAX(0,AsOf-Invoices[[#This Row],[Due Date]]),IF(Invoices[[#This Row],[Paid Date]]="","",MAX(0,Invoices[[#This Row],[Paid Date]]-Invoices[[#This Row],[Due Date]])))</f>
        <v>13</v>
      </c>
      <c r="N3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7" spans="1:14" ht="17.100000000000001" customHeight="1" x14ac:dyDescent="0.2">
      <c r="A37" s="6" t="s">
        <v>53</v>
      </c>
      <c r="B37" s="7">
        <v>45946</v>
      </c>
      <c r="C37" s="8" t="s">
        <v>54</v>
      </c>
      <c r="D37" s="8" t="s">
        <v>11</v>
      </c>
      <c r="E37" s="9">
        <v>30</v>
      </c>
      <c r="F37" s="7">
        <v>45976</v>
      </c>
      <c r="G37" s="10">
        <v>6099.62</v>
      </c>
      <c r="H37" s="10">
        <v>914.94</v>
      </c>
      <c r="I37" s="10">
        <v>7014.56</v>
      </c>
      <c r="J37" s="9" t="s">
        <v>2</v>
      </c>
      <c r="K37" s="7">
        <v>45980</v>
      </c>
      <c r="L37" s="9" t="s">
        <v>3</v>
      </c>
      <c r="M37" s="11" cm="1">
        <f t="array" ref="M37">IF(Invoices[[#This Row],[Status]]="Open",MAX(0,AsOf-Invoices[[#This Row],[Due Date]]),IF(Invoices[[#This Row],[Paid Date]]="","",MAX(0,Invoices[[#This Row],[Paid Date]]-Invoices[[#This Row],[Due Date]])))</f>
        <v>4</v>
      </c>
      <c r="N3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8" spans="1:14" ht="17.100000000000001" customHeight="1" x14ac:dyDescent="0.2">
      <c r="A38" s="6" t="s">
        <v>55</v>
      </c>
      <c r="B38" s="7">
        <v>45946</v>
      </c>
      <c r="C38" s="8" t="s">
        <v>56</v>
      </c>
      <c r="D38" s="8" t="s">
        <v>17</v>
      </c>
      <c r="E38" s="9">
        <v>30</v>
      </c>
      <c r="F38" s="7">
        <v>45976</v>
      </c>
      <c r="G38" s="10">
        <v>1764.89</v>
      </c>
      <c r="H38" s="10">
        <v>264.73</v>
      </c>
      <c r="I38" s="10">
        <v>2029.62</v>
      </c>
      <c r="J38" s="9" t="s">
        <v>2</v>
      </c>
      <c r="K38" s="7">
        <v>45989</v>
      </c>
      <c r="L38" s="9" t="s">
        <v>3</v>
      </c>
      <c r="M38" s="11" cm="1">
        <f t="array" ref="M38">IF(Invoices[[#This Row],[Status]]="Open",MAX(0,AsOf-Invoices[[#This Row],[Due Date]]),IF(Invoices[[#This Row],[Paid Date]]="","",MAX(0,Invoices[[#This Row],[Paid Date]]-Invoices[[#This Row],[Due Date]])))</f>
        <v>13</v>
      </c>
      <c r="N3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9" spans="1:14" ht="17.100000000000001" customHeight="1" x14ac:dyDescent="0.2">
      <c r="A39" s="6" t="s">
        <v>57</v>
      </c>
      <c r="B39" s="7">
        <v>45946</v>
      </c>
      <c r="C39" s="8" t="s">
        <v>8</v>
      </c>
      <c r="D39" s="8" t="s">
        <v>6</v>
      </c>
      <c r="E39" s="9">
        <v>45</v>
      </c>
      <c r="F39" s="7">
        <v>45991</v>
      </c>
      <c r="G39" s="10">
        <v>9687.23</v>
      </c>
      <c r="H39" s="10">
        <v>1453.08</v>
      </c>
      <c r="I39" s="10">
        <v>11140.31</v>
      </c>
      <c r="J39" s="9" t="s">
        <v>2</v>
      </c>
      <c r="K39" s="7">
        <v>46000</v>
      </c>
      <c r="L39" s="9" t="s">
        <v>3</v>
      </c>
      <c r="M39" s="11" cm="1">
        <f t="array" ref="M39">IF(Invoices[[#This Row],[Status]]="Open",MAX(0,AsOf-Invoices[[#This Row],[Due Date]]),IF(Invoices[[#This Row],[Paid Date]]="","",MAX(0,Invoices[[#This Row],[Paid Date]]-Invoices[[#This Row],[Due Date]])))</f>
        <v>9</v>
      </c>
      <c r="N3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0" spans="1:14" ht="17.100000000000001" customHeight="1" x14ac:dyDescent="0.2">
      <c r="A40" s="6" t="s">
        <v>58</v>
      </c>
      <c r="B40" s="7">
        <v>45949</v>
      </c>
      <c r="C40" s="8" t="s">
        <v>34</v>
      </c>
      <c r="D40" s="8" t="s">
        <v>21</v>
      </c>
      <c r="E40" s="9">
        <v>30</v>
      </c>
      <c r="F40" s="7">
        <v>45979</v>
      </c>
      <c r="G40" s="10">
        <v>5932.26</v>
      </c>
      <c r="H40" s="10">
        <v>889.84</v>
      </c>
      <c r="I40" s="10">
        <v>6822.1</v>
      </c>
      <c r="J40" s="9" t="s">
        <v>2</v>
      </c>
      <c r="K40" s="7">
        <v>45978</v>
      </c>
      <c r="L40" s="9" t="s">
        <v>3</v>
      </c>
      <c r="M40" s="11" cm="1">
        <f t="array" ref="M40">IF(Invoices[[#This Row],[Status]]="Open",MAX(0,AsOf-Invoices[[#This Row],[Due Date]]),IF(Invoices[[#This Row],[Paid Date]]="","",MAX(0,Invoices[[#This Row],[Paid Date]]-Invoices[[#This Row],[Due Date]])))</f>
        <v>0</v>
      </c>
      <c r="N4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1" spans="1:14" ht="17.100000000000001" customHeight="1" x14ac:dyDescent="0.2">
      <c r="A41" s="6" t="s">
        <v>59</v>
      </c>
      <c r="B41" s="7">
        <v>45949</v>
      </c>
      <c r="C41" s="8" t="s">
        <v>34</v>
      </c>
      <c r="D41" s="8" t="s">
        <v>21</v>
      </c>
      <c r="E41" s="9">
        <v>30</v>
      </c>
      <c r="F41" s="7">
        <v>45979</v>
      </c>
      <c r="G41" s="10">
        <v>4354.96</v>
      </c>
      <c r="H41" s="10">
        <v>653.24</v>
      </c>
      <c r="I41" s="10">
        <v>5008.2</v>
      </c>
      <c r="J41" s="9" t="s">
        <v>2</v>
      </c>
      <c r="K41" s="7">
        <v>45978</v>
      </c>
      <c r="L41" s="9" t="s">
        <v>3</v>
      </c>
      <c r="M41" s="11" cm="1">
        <f t="array" ref="M41">IF(Invoices[[#This Row],[Status]]="Open",MAX(0,AsOf-Invoices[[#This Row],[Due Date]]),IF(Invoices[[#This Row],[Paid Date]]="","",MAX(0,Invoices[[#This Row],[Paid Date]]-Invoices[[#This Row],[Due Date]])))</f>
        <v>0</v>
      </c>
      <c r="N4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2" spans="1:14" ht="17.100000000000001" customHeight="1" x14ac:dyDescent="0.2">
      <c r="A42" s="6" t="s">
        <v>60</v>
      </c>
      <c r="B42" s="7">
        <v>45950</v>
      </c>
      <c r="C42" s="8" t="s">
        <v>61</v>
      </c>
      <c r="D42" s="8" t="s">
        <v>62</v>
      </c>
      <c r="E42" s="9">
        <v>15</v>
      </c>
      <c r="F42" s="7">
        <v>45965</v>
      </c>
      <c r="G42" s="10">
        <v>1690.51</v>
      </c>
      <c r="H42" s="10">
        <v>253.58</v>
      </c>
      <c r="I42" s="10">
        <v>1944.09</v>
      </c>
      <c r="J42" s="9" t="s">
        <v>2</v>
      </c>
      <c r="K42" s="7">
        <v>45960</v>
      </c>
      <c r="L42" s="9" t="s">
        <v>3</v>
      </c>
      <c r="M42" s="11" cm="1">
        <f t="array" ref="M42">IF(Invoices[[#This Row],[Status]]="Open",MAX(0,AsOf-Invoices[[#This Row],[Due Date]]),IF(Invoices[[#This Row],[Paid Date]]="","",MAX(0,Invoices[[#This Row],[Paid Date]]-Invoices[[#This Row],[Due Date]])))</f>
        <v>0</v>
      </c>
      <c r="N4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3" spans="1:14" ht="17.100000000000001" customHeight="1" x14ac:dyDescent="0.2">
      <c r="A43" s="6" t="s">
        <v>63</v>
      </c>
      <c r="B43" s="7">
        <v>45950</v>
      </c>
      <c r="C43" s="8" t="s">
        <v>5</v>
      </c>
      <c r="D43" s="8" t="s">
        <v>6</v>
      </c>
      <c r="E43" s="9">
        <v>45</v>
      </c>
      <c r="F43" s="7">
        <v>45995</v>
      </c>
      <c r="G43" s="10">
        <v>11223.76</v>
      </c>
      <c r="H43" s="10">
        <v>1683.56</v>
      </c>
      <c r="I43" s="10">
        <v>12907.32</v>
      </c>
      <c r="J43" s="9" t="s">
        <v>2</v>
      </c>
      <c r="K43" s="7">
        <v>45995</v>
      </c>
      <c r="L43" s="9" t="s">
        <v>3</v>
      </c>
      <c r="M43" s="11" cm="1">
        <f t="array" ref="M43">IF(Invoices[[#This Row],[Status]]="Open",MAX(0,AsOf-Invoices[[#This Row],[Due Date]]),IF(Invoices[[#This Row],[Paid Date]]="","",MAX(0,Invoices[[#This Row],[Paid Date]]-Invoices[[#This Row],[Due Date]])))</f>
        <v>0</v>
      </c>
      <c r="N4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4" spans="1:14" ht="17.100000000000001" customHeight="1" x14ac:dyDescent="0.2">
      <c r="A44" s="6" t="s">
        <v>64</v>
      </c>
      <c r="B44" s="7">
        <v>45950</v>
      </c>
      <c r="C44" s="8" t="s">
        <v>5</v>
      </c>
      <c r="D44" s="8" t="s">
        <v>6</v>
      </c>
      <c r="E44" s="9">
        <v>45</v>
      </c>
      <c r="F44" s="7">
        <v>45995</v>
      </c>
      <c r="G44" s="10">
        <v>11432.35</v>
      </c>
      <c r="H44" s="10">
        <v>1714.85</v>
      </c>
      <c r="I44" s="10">
        <v>13147.2</v>
      </c>
      <c r="J44" s="9" t="s">
        <v>2</v>
      </c>
      <c r="K44" s="7">
        <v>46059</v>
      </c>
      <c r="L44" s="9" t="s">
        <v>3</v>
      </c>
      <c r="M44" s="11" cm="1">
        <f t="array" ref="M44">IF(Invoices[[#This Row],[Status]]="Open",MAX(0,AsOf-Invoices[[#This Row],[Due Date]]),IF(Invoices[[#This Row],[Paid Date]]="","",MAX(0,Invoices[[#This Row],[Paid Date]]-Invoices[[#This Row],[Due Date]])))</f>
        <v>64</v>
      </c>
      <c r="N4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5" spans="1:14" ht="17.100000000000001" customHeight="1" x14ac:dyDescent="0.2">
      <c r="A45" s="6" t="s">
        <v>65</v>
      </c>
      <c r="B45" s="7">
        <v>45951</v>
      </c>
      <c r="C45" s="8" t="s">
        <v>66</v>
      </c>
      <c r="D45" s="8" t="s">
        <v>62</v>
      </c>
      <c r="E45" s="9">
        <v>15</v>
      </c>
      <c r="F45" s="7">
        <v>45966</v>
      </c>
      <c r="G45" s="10">
        <v>2278.91</v>
      </c>
      <c r="H45" s="10">
        <v>341.84</v>
      </c>
      <c r="I45" s="10">
        <v>2620.75</v>
      </c>
      <c r="J45" s="9" t="s">
        <v>2</v>
      </c>
      <c r="K45" s="7">
        <v>45969</v>
      </c>
      <c r="L45" s="9" t="s">
        <v>3</v>
      </c>
      <c r="M45" s="11" cm="1">
        <f t="array" ref="M45">IF(Invoices[[#This Row],[Status]]="Open",MAX(0,AsOf-Invoices[[#This Row],[Due Date]]),IF(Invoices[[#This Row],[Paid Date]]="","",MAX(0,Invoices[[#This Row],[Paid Date]]-Invoices[[#This Row],[Due Date]])))</f>
        <v>3</v>
      </c>
      <c r="N4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6" spans="1:14" ht="17.100000000000001" customHeight="1" x14ac:dyDescent="0.2">
      <c r="A46" s="6" t="s">
        <v>67</v>
      </c>
      <c r="B46" s="7">
        <v>45952</v>
      </c>
      <c r="C46" s="8" t="s">
        <v>8</v>
      </c>
      <c r="D46" s="8" t="s">
        <v>6</v>
      </c>
      <c r="E46" s="9">
        <v>45</v>
      </c>
      <c r="F46" s="7">
        <v>45997</v>
      </c>
      <c r="G46" s="10">
        <v>5856.5</v>
      </c>
      <c r="H46" s="10">
        <v>878.48</v>
      </c>
      <c r="I46" s="10">
        <v>6734.98</v>
      </c>
      <c r="J46" s="9" t="s">
        <v>2</v>
      </c>
      <c r="K46" s="7">
        <v>45997</v>
      </c>
      <c r="L46" s="9" t="s">
        <v>3</v>
      </c>
      <c r="M46" s="11" cm="1">
        <f t="array" ref="M46">IF(Invoices[[#This Row],[Status]]="Open",MAX(0,AsOf-Invoices[[#This Row],[Due Date]]),IF(Invoices[[#This Row],[Paid Date]]="","",MAX(0,Invoices[[#This Row],[Paid Date]]-Invoices[[#This Row],[Due Date]])))</f>
        <v>0</v>
      </c>
      <c r="N4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7" spans="1:14" ht="17.100000000000001" customHeight="1" x14ac:dyDescent="0.2">
      <c r="A47" s="6" t="s">
        <v>68</v>
      </c>
      <c r="B47" s="7">
        <v>45952</v>
      </c>
      <c r="C47" s="8" t="s">
        <v>69</v>
      </c>
      <c r="D47" s="8" t="s">
        <v>6</v>
      </c>
      <c r="E47" s="9">
        <v>45</v>
      </c>
      <c r="F47" s="7">
        <v>45997</v>
      </c>
      <c r="G47" s="10">
        <v>9780.85</v>
      </c>
      <c r="H47" s="10"/>
      <c r="I47" s="10">
        <v>9780.85</v>
      </c>
      <c r="J47" s="9" t="s">
        <v>2</v>
      </c>
      <c r="K47" s="7">
        <v>45997</v>
      </c>
      <c r="L47" s="9" t="s">
        <v>3</v>
      </c>
      <c r="M47" s="11" cm="1">
        <f t="array" ref="M47">IF(Invoices[[#This Row],[Status]]="Open",MAX(0,AsOf-Invoices[[#This Row],[Due Date]]),IF(Invoices[[#This Row],[Paid Date]]="","",MAX(0,Invoices[[#This Row],[Paid Date]]-Invoices[[#This Row],[Due Date]])))</f>
        <v>0</v>
      </c>
      <c r="N4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Missing VAT</v>
      </c>
    </row>
    <row r="48" spans="1:14" ht="17.100000000000001" customHeight="1" x14ac:dyDescent="0.2">
      <c r="A48" s="6" t="s">
        <v>70</v>
      </c>
      <c r="B48" s="7">
        <v>45952</v>
      </c>
      <c r="C48" s="8" t="s">
        <v>20</v>
      </c>
      <c r="D48" s="8" t="s">
        <v>21</v>
      </c>
      <c r="E48" s="9">
        <v>30</v>
      </c>
      <c r="F48" s="7">
        <v>45982</v>
      </c>
      <c r="G48" s="10">
        <v>2191.37</v>
      </c>
      <c r="H48" s="10">
        <v>328.71</v>
      </c>
      <c r="I48" s="10">
        <v>2520.08</v>
      </c>
      <c r="J48" s="9" t="s">
        <v>2</v>
      </c>
      <c r="K48" s="7">
        <v>45981</v>
      </c>
      <c r="L48" s="9" t="s">
        <v>3</v>
      </c>
      <c r="M48" s="11" cm="1">
        <f t="array" ref="M48">IF(Invoices[[#This Row],[Status]]="Open",MAX(0,AsOf-Invoices[[#This Row],[Due Date]]),IF(Invoices[[#This Row],[Paid Date]]="","",MAX(0,Invoices[[#This Row],[Paid Date]]-Invoices[[#This Row],[Due Date]])))</f>
        <v>0</v>
      </c>
      <c r="N4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9" spans="1:14" ht="17.100000000000001" customHeight="1" x14ac:dyDescent="0.2">
      <c r="A49" s="6" t="s">
        <v>71</v>
      </c>
      <c r="B49" s="7">
        <v>45953</v>
      </c>
      <c r="C49" s="8" t="s">
        <v>45</v>
      </c>
      <c r="D49" s="8" t="s">
        <v>17</v>
      </c>
      <c r="E49" s="9">
        <v>30</v>
      </c>
      <c r="F49" s="7">
        <v>45983</v>
      </c>
      <c r="G49" s="10">
        <v>1878.86</v>
      </c>
      <c r="H49" s="10">
        <v>281.83</v>
      </c>
      <c r="I49" s="10">
        <v>2160.69</v>
      </c>
      <c r="J49" s="9" t="s">
        <v>2</v>
      </c>
      <c r="K49" s="7">
        <v>45987</v>
      </c>
      <c r="L49" s="9" t="s">
        <v>3</v>
      </c>
      <c r="M49" s="11" cm="1">
        <f t="array" ref="M49">IF(Invoices[[#This Row],[Status]]="Open",MAX(0,AsOf-Invoices[[#This Row],[Due Date]]),IF(Invoices[[#This Row],[Paid Date]]="","",MAX(0,Invoices[[#This Row],[Paid Date]]-Invoices[[#This Row],[Due Date]])))</f>
        <v>4</v>
      </c>
      <c r="N4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0" spans="1:14" ht="17.100000000000001" customHeight="1" x14ac:dyDescent="0.2">
      <c r="A50" s="6" t="s">
        <v>72</v>
      </c>
      <c r="B50" s="7">
        <v>45953</v>
      </c>
      <c r="C50" s="8" t="s">
        <v>31</v>
      </c>
      <c r="D50" s="8" t="s">
        <v>6</v>
      </c>
      <c r="E50" s="9">
        <v>60</v>
      </c>
      <c r="F50" s="7">
        <v>46013</v>
      </c>
      <c r="G50" s="10">
        <v>19719.8</v>
      </c>
      <c r="H50" s="10">
        <v>2957.97</v>
      </c>
      <c r="I50" s="10">
        <v>22677.77</v>
      </c>
      <c r="J50" s="9" t="s">
        <v>2</v>
      </c>
      <c r="K50" s="7">
        <v>46020</v>
      </c>
      <c r="L50" s="9" t="s">
        <v>3</v>
      </c>
      <c r="M50" s="11" cm="1">
        <f t="array" ref="M50">IF(Invoices[[#This Row],[Status]]="Open",MAX(0,AsOf-Invoices[[#This Row],[Due Date]]),IF(Invoices[[#This Row],[Paid Date]]="","",MAX(0,Invoices[[#This Row],[Paid Date]]-Invoices[[#This Row],[Due Date]])))</f>
        <v>7</v>
      </c>
      <c r="N5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1" spans="1:14" ht="17.100000000000001" customHeight="1" x14ac:dyDescent="0.2">
      <c r="A51" s="6" t="s">
        <v>73</v>
      </c>
      <c r="B51" s="7">
        <v>45953</v>
      </c>
      <c r="C51" s="8" t="s">
        <v>5</v>
      </c>
      <c r="D51" s="8" t="s">
        <v>6</v>
      </c>
      <c r="E51" s="9">
        <v>45</v>
      </c>
      <c r="F51" s="7">
        <v>45998</v>
      </c>
      <c r="G51" s="10">
        <v>5493.75</v>
      </c>
      <c r="H51" s="10">
        <v>824.06</v>
      </c>
      <c r="I51" s="10">
        <v>6317.81</v>
      </c>
      <c r="J51" s="9" t="s">
        <v>2</v>
      </c>
      <c r="K51" s="7">
        <v>46001</v>
      </c>
      <c r="L51" s="9" t="s">
        <v>3</v>
      </c>
      <c r="M51" s="11" cm="1">
        <f t="array" ref="M51">IF(Invoices[[#This Row],[Status]]="Open",MAX(0,AsOf-Invoices[[#This Row],[Due Date]]),IF(Invoices[[#This Row],[Paid Date]]="","",MAX(0,Invoices[[#This Row],[Paid Date]]-Invoices[[#This Row],[Due Date]])))</f>
        <v>3</v>
      </c>
      <c r="N5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2" spans="1:14" ht="17.100000000000001" customHeight="1" x14ac:dyDescent="0.2">
      <c r="A52" s="6" t="s">
        <v>74</v>
      </c>
      <c r="B52" s="7">
        <v>45956</v>
      </c>
      <c r="C52" s="8" t="s">
        <v>75</v>
      </c>
      <c r="D52" s="8" t="s">
        <v>21</v>
      </c>
      <c r="E52" s="9">
        <v>30</v>
      </c>
      <c r="F52" s="7">
        <v>45986</v>
      </c>
      <c r="G52" s="10">
        <v>3479.54</v>
      </c>
      <c r="H52" s="10">
        <v>521.92999999999995</v>
      </c>
      <c r="I52" s="10">
        <v>4001.47</v>
      </c>
      <c r="J52" s="9" t="s">
        <v>2</v>
      </c>
      <c r="K52" s="7">
        <v>45986</v>
      </c>
      <c r="L52" s="9" t="s">
        <v>3</v>
      </c>
      <c r="M52" s="11" cm="1">
        <f t="array" ref="M52">IF(Invoices[[#This Row],[Status]]="Open",MAX(0,AsOf-Invoices[[#This Row],[Due Date]]),IF(Invoices[[#This Row],[Paid Date]]="","",MAX(0,Invoices[[#This Row],[Paid Date]]-Invoices[[#This Row],[Due Date]])))</f>
        <v>0</v>
      </c>
      <c r="N5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3" spans="1:14" ht="17.100000000000001" customHeight="1" x14ac:dyDescent="0.2">
      <c r="A53" s="6" t="s">
        <v>76</v>
      </c>
      <c r="B53" s="7">
        <v>45956</v>
      </c>
      <c r="C53" s="8" t="s">
        <v>24</v>
      </c>
      <c r="D53" s="8" t="s">
        <v>25</v>
      </c>
      <c r="E53" s="9">
        <v>60</v>
      </c>
      <c r="F53" s="7">
        <v>46016</v>
      </c>
      <c r="G53" s="10">
        <v>12189.91</v>
      </c>
      <c r="H53" s="10">
        <v>1828.49</v>
      </c>
      <c r="I53" s="10">
        <v>14018.4</v>
      </c>
      <c r="J53" s="9" t="s">
        <v>2</v>
      </c>
      <c r="K53" s="7">
        <v>46016</v>
      </c>
      <c r="L53" s="9" t="s">
        <v>3</v>
      </c>
      <c r="M53" s="11" cm="1">
        <f t="array" ref="M53">IF(Invoices[[#This Row],[Status]]="Open",MAX(0,AsOf-Invoices[[#This Row],[Due Date]]),IF(Invoices[[#This Row],[Paid Date]]="","",MAX(0,Invoices[[#This Row],[Paid Date]]-Invoices[[#This Row],[Due Date]])))</f>
        <v>0</v>
      </c>
      <c r="N5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4" spans="1:14" ht="17.100000000000001" customHeight="1" x14ac:dyDescent="0.2">
      <c r="A54" s="6" t="s">
        <v>77</v>
      </c>
      <c r="B54" s="7">
        <v>45956</v>
      </c>
      <c r="C54" s="8" t="s">
        <v>69</v>
      </c>
      <c r="D54" s="8" t="s">
        <v>6</v>
      </c>
      <c r="E54" s="9">
        <v>45</v>
      </c>
      <c r="F54" s="7">
        <v>46001</v>
      </c>
      <c r="G54" s="10">
        <v>10269.049999999999</v>
      </c>
      <c r="H54" s="10">
        <v>1540.36</v>
      </c>
      <c r="I54" s="10">
        <v>11809.41</v>
      </c>
      <c r="J54" s="9" t="s">
        <v>2</v>
      </c>
      <c r="K54" s="7">
        <v>46039</v>
      </c>
      <c r="L54" s="9" t="s">
        <v>3</v>
      </c>
      <c r="M54" s="11" cm="1">
        <f t="array" ref="M54">IF(Invoices[[#This Row],[Status]]="Open",MAX(0,AsOf-Invoices[[#This Row],[Due Date]]),IF(Invoices[[#This Row],[Paid Date]]="","",MAX(0,Invoices[[#This Row],[Paid Date]]-Invoices[[#This Row],[Due Date]])))</f>
        <v>38</v>
      </c>
      <c r="N5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5" spans="1:14" ht="17.100000000000001" customHeight="1" x14ac:dyDescent="0.2">
      <c r="A55" s="6" t="s">
        <v>78</v>
      </c>
      <c r="B55" s="7">
        <v>45956</v>
      </c>
      <c r="C55" s="8" t="s">
        <v>75</v>
      </c>
      <c r="D55" s="8" t="s">
        <v>21</v>
      </c>
      <c r="E55" s="9">
        <v>30</v>
      </c>
      <c r="F55" s="7">
        <v>45986</v>
      </c>
      <c r="G55" s="10">
        <v>6552.59</v>
      </c>
      <c r="H55" s="10">
        <v>982.89</v>
      </c>
      <c r="I55" s="10">
        <v>7535.48</v>
      </c>
      <c r="J55" s="9" t="s">
        <v>2</v>
      </c>
      <c r="K55" s="7">
        <v>45981</v>
      </c>
      <c r="L55" s="9" t="s">
        <v>3</v>
      </c>
      <c r="M55" s="11" cm="1">
        <f t="array" ref="M55">IF(Invoices[[#This Row],[Status]]="Open",MAX(0,AsOf-Invoices[[#This Row],[Due Date]]),IF(Invoices[[#This Row],[Paid Date]]="","",MAX(0,Invoices[[#This Row],[Paid Date]]-Invoices[[#This Row],[Due Date]])))</f>
        <v>0</v>
      </c>
      <c r="N5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6" spans="1:14" ht="17.100000000000001" customHeight="1" x14ac:dyDescent="0.2">
      <c r="A56" s="6" t="s">
        <v>79</v>
      </c>
      <c r="B56" s="7">
        <v>45956</v>
      </c>
      <c r="C56" s="8" t="s">
        <v>31</v>
      </c>
      <c r="D56" s="8" t="s">
        <v>6</v>
      </c>
      <c r="E56" s="9">
        <v>60</v>
      </c>
      <c r="F56" s="7">
        <v>46016</v>
      </c>
      <c r="G56" s="10">
        <v>4292.03</v>
      </c>
      <c r="H56" s="10">
        <v>643.79999999999995</v>
      </c>
      <c r="I56" s="10">
        <v>4935.83</v>
      </c>
      <c r="J56" s="9" t="s">
        <v>2</v>
      </c>
      <c r="K56" s="7">
        <v>46019</v>
      </c>
      <c r="L56" s="9" t="s">
        <v>3</v>
      </c>
      <c r="M56" s="11" cm="1">
        <f t="array" ref="M56">IF(Invoices[[#This Row],[Status]]="Open",MAX(0,AsOf-Invoices[[#This Row],[Due Date]]),IF(Invoices[[#This Row],[Paid Date]]="","",MAX(0,Invoices[[#This Row],[Paid Date]]-Invoices[[#This Row],[Due Date]])))</f>
        <v>3</v>
      </c>
      <c r="N5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7" spans="1:14" ht="17.100000000000001" customHeight="1" x14ac:dyDescent="0.2">
      <c r="A57" s="6" t="s">
        <v>80</v>
      </c>
      <c r="B57" s="7">
        <v>45956</v>
      </c>
      <c r="C57" s="8" t="s">
        <v>61</v>
      </c>
      <c r="D57" s="8" t="s">
        <v>62</v>
      </c>
      <c r="E57" s="9">
        <v>15</v>
      </c>
      <c r="F57" s="7">
        <v>45971</v>
      </c>
      <c r="G57" s="10">
        <v>1101.05</v>
      </c>
      <c r="H57" s="10">
        <v>165.16</v>
      </c>
      <c r="I57" s="10">
        <v>1266.21</v>
      </c>
      <c r="J57" s="9" t="s">
        <v>2</v>
      </c>
      <c r="K57" s="7">
        <v>45966</v>
      </c>
      <c r="L57" s="9" t="s">
        <v>3</v>
      </c>
      <c r="M57" s="11" cm="1">
        <f t="array" ref="M57">IF(Invoices[[#This Row],[Status]]="Open",MAX(0,AsOf-Invoices[[#This Row],[Due Date]]),IF(Invoices[[#This Row],[Paid Date]]="","",MAX(0,Invoices[[#This Row],[Paid Date]]-Invoices[[#This Row],[Due Date]])))</f>
        <v>0</v>
      </c>
      <c r="N5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8" spans="1:14" ht="17.100000000000001" customHeight="1" x14ac:dyDescent="0.2">
      <c r="A58" s="6" t="s">
        <v>81</v>
      </c>
      <c r="B58" s="7">
        <v>45957</v>
      </c>
      <c r="C58" s="8" t="s">
        <v>69</v>
      </c>
      <c r="D58" s="8" t="s">
        <v>6</v>
      </c>
      <c r="E58" s="9">
        <v>45</v>
      </c>
      <c r="F58" s="7">
        <v>46002</v>
      </c>
      <c r="G58" s="10">
        <v>14638.14</v>
      </c>
      <c r="H58" s="10">
        <v>2195.7199999999998</v>
      </c>
      <c r="I58" s="10">
        <v>16833.86</v>
      </c>
      <c r="J58" s="9" t="s">
        <v>2</v>
      </c>
      <c r="K58" s="7">
        <v>46010</v>
      </c>
      <c r="L58" s="9" t="s">
        <v>3</v>
      </c>
      <c r="M58" s="11" cm="1">
        <f t="array" ref="M58">IF(Invoices[[#This Row],[Status]]="Open",MAX(0,AsOf-Invoices[[#This Row],[Due Date]]),IF(Invoices[[#This Row],[Paid Date]]="","",MAX(0,Invoices[[#This Row],[Paid Date]]-Invoices[[#This Row],[Due Date]])))</f>
        <v>8</v>
      </c>
      <c r="N5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9" spans="1:14" ht="17.100000000000001" customHeight="1" x14ac:dyDescent="0.2">
      <c r="A59" s="6" t="s">
        <v>82</v>
      </c>
      <c r="B59" s="7">
        <v>45957</v>
      </c>
      <c r="C59" s="8" t="s">
        <v>31</v>
      </c>
      <c r="D59" s="8" t="s">
        <v>6</v>
      </c>
      <c r="E59" s="9">
        <v>60</v>
      </c>
      <c r="F59" s="7">
        <v>46017</v>
      </c>
      <c r="G59" s="10">
        <v>9653.99</v>
      </c>
      <c r="H59" s="10">
        <v>1448.1</v>
      </c>
      <c r="I59" s="10">
        <v>11102.09</v>
      </c>
      <c r="J59" s="9" t="s">
        <v>2</v>
      </c>
      <c r="K59" s="7">
        <v>46012</v>
      </c>
      <c r="L59" s="9" t="s">
        <v>3</v>
      </c>
      <c r="M59" s="11" cm="1">
        <f t="array" ref="M59">IF(Invoices[[#This Row],[Status]]="Open",MAX(0,AsOf-Invoices[[#This Row],[Due Date]]),IF(Invoices[[#This Row],[Paid Date]]="","",MAX(0,Invoices[[#This Row],[Paid Date]]-Invoices[[#This Row],[Due Date]])))</f>
        <v>0</v>
      </c>
      <c r="N5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0" spans="1:14" ht="17.100000000000001" customHeight="1" x14ac:dyDescent="0.2">
      <c r="A60" s="6" t="s">
        <v>83</v>
      </c>
      <c r="B60" s="7">
        <v>45957</v>
      </c>
      <c r="C60" s="8" t="s">
        <v>61</v>
      </c>
      <c r="D60" s="8" t="s">
        <v>62</v>
      </c>
      <c r="E60" s="9">
        <v>15</v>
      </c>
      <c r="F60" s="7">
        <v>45972</v>
      </c>
      <c r="G60" s="10">
        <v>2330.2199999999998</v>
      </c>
      <c r="H60" s="10">
        <v>349.53</v>
      </c>
      <c r="I60" s="10">
        <v>2679.75</v>
      </c>
      <c r="J60" s="9" t="s">
        <v>2</v>
      </c>
      <c r="K60" s="7">
        <v>46067</v>
      </c>
      <c r="L60" s="9" t="s">
        <v>3</v>
      </c>
      <c r="M60" s="11" cm="1">
        <f t="array" ref="M60">IF(Invoices[[#This Row],[Status]]="Open",MAX(0,AsOf-Invoices[[#This Row],[Due Date]]),IF(Invoices[[#This Row],[Paid Date]]="","",MAX(0,Invoices[[#This Row],[Paid Date]]-Invoices[[#This Row],[Due Date]])))</f>
        <v>95</v>
      </c>
      <c r="N6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1" spans="1:14" ht="17.100000000000001" customHeight="1" x14ac:dyDescent="0.2">
      <c r="A61" s="6" t="s">
        <v>84</v>
      </c>
      <c r="B61" s="7">
        <v>45957</v>
      </c>
      <c r="C61" s="8" t="s">
        <v>34</v>
      </c>
      <c r="D61" s="8" t="s">
        <v>21</v>
      </c>
      <c r="E61" s="9">
        <v>30</v>
      </c>
      <c r="F61" s="7">
        <v>45987</v>
      </c>
      <c r="G61" s="10">
        <v>2083.9</v>
      </c>
      <c r="H61" s="10">
        <v>312.58</v>
      </c>
      <c r="I61" s="10">
        <v>2396.48</v>
      </c>
      <c r="J61" s="9" t="s">
        <v>2</v>
      </c>
      <c r="K61" s="7">
        <v>45984</v>
      </c>
      <c r="L61" s="9" t="s">
        <v>3</v>
      </c>
      <c r="M61" s="11" cm="1">
        <f t="array" ref="M61">IF(Invoices[[#This Row],[Status]]="Open",MAX(0,AsOf-Invoices[[#This Row],[Due Date]]),IF(Invoices[[#This Row],[Paid Date]]="","",MAX(0,Invoices[[#This Row],[Paid Date]]-Invoices[[#This Row],[Due Date]])))</f>
        <v>0</v>
      </c>
      <c r="N6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2" spans="1:14" ht="17.100000000000001" customHeight="1" x14ac:dyDescent="0.2">
      <c r="A62" s="6" t="s">
        <v>85</v>
      </c>
      <c r="B62" s="7">
        <v>45957</v>
      </c>
      <c r="C62" s="8" t="s">
        <v>13</v>
      </c>
      <c r="D62" s="8" t="s">
        <v>1</v>
      </c>
      <c r="E62" s="9">
        <v>30</v>
      </c>
      <c r="F62" s="7">
        <v>45987</v>
      </c>
      <c r="G62" s="10">
        <v>2771.74</v>
      </c>
      <c r="H62" s="10">
        <v>415.76</v>
      </c>
      <c r="I62" s="10">
        <v>3187.5</v>
      </c>
      <c r="J62" s="9" t="s">
        <v>2</v>
      </c>
      <c r="K62" s="7">
        <v>45983</v>
      </c>
      <c r="L62" s="9" t="s">
        <v>3</v>
      </c>
      <c r="M62" s="11" cm="1">
        <f t="array" ref="M62">IF(Invoices[[#This Row],[Status]]="Open",MAX(0,AsOf-Invoices[[#This Row],[Due Date]]),IF(Invoices[[#This Row],[Paid Date]]="","",MAX(0,Invoices[[#This Row],[Paid Date]]-Invoices[[#This Row],[Due Date]])))</f>
        <v>0</v>
      </c>
      <c r="N6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3" spans="1:14" ht="17.100000000000001" customHeight="1" x14ac:dyDescent="0.2">
      <c r="A63" s="6" t="s">
        <v>86</v>
      </c>
      <c r="B63" s="7">
        <v>45957</v>
      </c>
      <c r="C63" s="8" t="s">
        <v>54</v>
      </c>
      <c r="D63" s="8" t="s">
        <v>11</v>
      </c>
      <c r="E63" s="9">
        <v>30</v>
      </c>
      <c r="F63" s="7">
        <v>45987</v>
      </c>
      <c r="G63" s="10">
        <v>4925.83</v>
      </c>
      <c r="H63" s="10">
        <v>738.87</v>
      </c>
      <c r="I63" s="10">
        <v>5664.7</v>
      </c>
      <c r="J63" s="9" t="s">
        <v>2</v>
      </c>
      <c r="K63" s="7">
        <v>46009</v>
      </c>
      <c r="L63" s="9" t="s">
        <v>3</v>
      </c>
      <c r="M63" s="11" cm="1">
        <f t="array" ref="M63">IF(Invoices[[#This Row],[Status]]="Open",MAX(0,AsOf-Invoices[[#This Row],[Due Date]]),IF(Invoices[[#This Row],[Paid Date]]="","",MAX(0,Invoices[[#This Row],[Paid Date]]-Invoices[[#This Row],[Due Date]])))</f>
        <v>22</v>
      </c>
      <c r="N6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4" spans="1:14" ht="17.100000000000001" customHeight="1" x14ac:dyDescent="0.2">
      <c r="A64" s="6" t="s">
        <v>87</v>
      </c>
      <c r="B64" s="7">
        <v>45957</v>
      </c>
      <c r="C64" s="8" t="s">
        <v>5</v>
      </c>
      <c r="D64" s="8" t="s">
        <v>6</v>
      </c>
      <c r="E64" s="9">
        <v>45</v>
      </c>
      <c r="F64" s="7">
        <v>46002</v>
      </c>
      <c r="G64" s="10">
        <v>10716.69</v>
      </c>
      <c r="H64" s="10">
        <v>1607.5</v>
      </c>
      <c r="I64" s="10">
        <v>12324.19</v>
      </c>
      <c r="J64" s="9" t="s">
        <v>2</v>
      </c>
      <c r="K64" s="7">
        <v>45999</v>
      </c>
      <c r="L64" s="9" t="s">
        <v>3</v>
      </c>
      <c r="M64" s="11" cm="1">
        <f t="array" ref="M64">IF(Invoices[[#This Row],[Status]]="Open",MAX(0,AsOf-Invoices[[#This Row],[Due Date]]),IF(Invoices[[#This Row],[Paid Date]]="","",MAX(0,Invoices[[#This Row],[Paid Date]]-Invoices[[#This Row],[Due Date]])))</f>
        <v>0</v>
      </c>
      <c r="N6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5" spans="1:14" ht="17.100000000000001" customHeight="1" x14ac:dyDescent="0.2">
      <c r="A65" s="6" t="s">
        <v>88</v>
      </c>
      <c r="B65" s="7">
        <v>45958</v>
      </c>
      <c r="C65" s="8" t="s">
        <v>89</v>
      </c>
      <c r="D65" s="8" t="s">
        <v>39</v>
      </c>
      <c r="E65" s="9">
        <v>15</v>
      </c>
      <c r="F65" s="7">
        <v>45928</v>
      </c>
      <c r="G65" s="10">
        <v>1749.95</v>
      </c>
      <c r="H65" s="10">
        <v>262.49</v>
      </c>
      <c r="I65" s="10">
        <v>2012.44</v>
      </c>
      <c r="J65" s="9" t="s">
        <v>2</v>
      </c>
      <c r="K65" s="7">
        <v>45972</v>
      </c>
      <c r="L65" s="9" t="s">
        <v>3</v>
      </c>
      <c r="M65" s="11" cm="1">
        <f t="array" ref="M65">IF(Invoices[[#This Row],[Status]]="Open",MAX(0,AsOf-Invoices[[#This Row],[Due Date]]),IF(Invoices[[#This Row],[Paid Date]]="","",MAX(0,Invoices[[#This Row],[Paid Date]]-Invoices[[#This Row],[Due Date]])))</f>
        <v>44</v>
      </c>
      <c r="N6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Due before invoice</v>
      </c>
    </row>
    <row r="66" spans="1:14" ht="17.100000000000001" customHeight="1" x14ac:dyDescent="0.2">
      <c r="A66" s="6" t="s">
        <v>90</v>
      </c>
      <c r="B66" s="7">
        <v>45959</v>
      </c>
      <c r="C66" s="8" t="s">
        <v>8</v>
      </c>
      <c r="D66" s="8" t="s">
        <v>6</v>
      </c>
      <c r="E66" s="9">
        <v>45</v>
      </c>
      <c r="F66" s="7">
        <v>46004</v>
      </c>
      <c r="G66" s="10">
        <v>9163.07</v>
      </c>
      <c r="H66" s="10">
        <v>1374.46</v>
      </c>
      <c r="I66" s="10">
        <v>10537.53</v>
      </c>
      <c r="J66" s="9" t="s">
        <v>2</v>
      </c>
      <c r="K66" s="7">
        <v>46004</v>
      </c>
      <c r="L66" s="9" t="s">
        <v>3</v>
      </c>
      <c r="M66" s="11" cm="1">
        <f t="array" ref="M66">IF(Invoices[[#This Row],[Status]]="Open",MAX(0,AsOf-Invoices[[#This Row],[Due Date]]),IF(Invoices[[#This Row],[Paid Date]]="","",MAX(0,Invoices[[#This Row],[Paid Date]]-Invoices[[#This Row],[Due Date]])))</f>
        <v>0</v>
      </c>
      <c r="N6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7" spans="1:14" ht="17.100000000000001" customHeight="1" x14ac:dyDescent="0.2">
      <c r="A67" s="6" t="s">
        <v>91</v>
      </c>
      <c r="B67" s="7">
        <v>45959</v>
      </c>
      <c r="C67" s="8" t="s">
        <v>56</v>
      </c>
      <c r="D67" s="8" t="s">
        <v>17</v>
      </c>
      <c r="E67" s="9">
        <v>30</v>
      </c>
      <c r="F67" s="7">
        <v>45989</v>
      </c>
      <c r="G67" s="10">
        <v>2704.03</v>
      </c>
      <c r="H67" s="10">
        <v>405.6</v>
      </c>
      <c r="I67" s="10">
        <v>3109.63</v>
      </c>
      <c r="J67" s="9" t="s">
        <v>2</v>
      </c>
      <c r="K67" s="7">
        <v>45991</v>
      </c>
      <c r="L67" s="9" t="s">
        <v>3</v>
      </c>
      <c r="M67" s="11" cm="1">
        <f t="array" ref="M67">IF(Invoices[[#This Row],[Status]]="Open",MAX(0,AsOf-Invoices[[#This Row],[Due Date]]),IF(Invoices[[#This Row],[Paid Date]]="","",MAX(0,Invoices[[#This Row],[Paid Date]]-Invoices[[#This Row],[Due Date]])))</f>
        <v>2</v>
      </c>
      <c r="N6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8" spans="1:14" ht="17.100000000000001" customHeight="1" x14ac:dyDescent="0.2">
      <c r="A68" s="6" t="s">
        <v>92</v>
      </c>
      <c r="B68" s="7">
        <v>45959</v>
      </c>
      <c r="C68" s="8" t="s">
        <v>45</v>
      </c>
      <c r="D68" s="8" t="s">
        <v>17</v>
      </c>
      <c r="E68" s="9">
        <v>30</v>
      </c>
      <c r="F68" s="7">
        <v>45989</v>
      </c>
      <c r="G68" s="10">
        <v>2439.88</v>
      </c>
      <c r="H68" s="10">
        <v>365.98</v>
      </c>
      <c r="I68" s="10">
        <v>2805.86</v>
      </c>
      <c r="J68" s="9" t="s">
        <v>2</v>
      </c>
      <c r="K68" s="7">
        <v>45991</v>
      </c>
      <c r="L68" s="9" t="s">
        <v>3</v>
      </c>
      <c r="M68" s="11" cm="1">
        <f t="array" ref="M68">IF(Invoices[[#This Row],[Status]]="Open",MAX(0,AsOf-Invoices[[#This Row],[Due Date]]),IF(Invoices[[#This Row],[Paid Date]]="","",MAX(0,Invoices[[#This Row],[Paid Date]]-Invoices[[#This Row],[Due Date]])))</f>
        <v>2</v>
      </c>
      <c r="N6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9" spans="1:14" ht="17.100000000000001" customHeight="1" x14ac:dyDescent="0.2">
      <c r="A69" s="6" t="s">
        <v>93</v>
      </c>
      <c r="B69" s="7">
        <v>45959</v>
      </c>
      <c r="C69" s="8" t="s">
        <v>31</v>
      </c>
      <c r="D69" s="8" t="s">
        <v>6</v>
      </c>
      <c r="E69" s="9">
        <v>60</v>
      </c>
      <c r="F69" s="7">
        <v>46019</v>
      </c>
      <c r="G69" s="10">
        <v>8561.0300000000007</v>
      </c>
      <c r="H69" s="10">
        <v>1284.1500000000001</v>
      </c>
      <c r="I69" s="10">
        <v>9845.18</v>
      </c>
      <c r="J69" s="9" t="s">
        <v>2</v>
      </c>
      <c r="K69" s="7">
        <v>46019</v>
      </c>
      <c r="L69" s="9" t="s">
        <v>3</v>
      </c>
      <c r="M69" s="11" cm="1">
        <f t="array" ref="M69">IF(Invoices[[#This Row],[Status]]="Open",MAX(0,AsOf-Invoices[[#This Row],[Due Date]]),IF(Invoices[[#This Row],[Paid Date]]="","",MAX(0,Invoices[[#This Row],[Paid Date]]-Invoices[[#This Row],[Due Date]])))</f>
        <v>0</v>
      </c>
      <c r="N6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0" spans="1:14" ht="17.100000000000001" customHeight="1" x14ac:dyDescent="0.2">
      <c r="A70" s="6" t="s">
        <v>94</v>
      </c>
      <c r="B70" s="7">
        <v>45960</v>
      </c>
      <c r="C70" s="8" t="s">
        <v>95</v>
      </c>
      <c r="D70" s="8" t="s">
        <v>62</v>
      </c>
      <c r="E70" s="9">
        <v>15</v>
      </c>
      <c r="F70" s="7">
        <v>45975</v>
      </c>
      <c r="G70" s="10">
        <v>1779.35</v>
      </c>
      <c r="H70" s="10">
        <v>266.89999999999998</v>
      </c>
      <c r="I70" s="10">
        <v>2046.25</v>
      </c>
      <c r="J70" s="9" t="s">
        <v>2</v>
      </c>
      <c r="K70" s="7">
        <v>45972</v>
      </c>
      <c r="L70" s="9" t="s">
        <v>3</v>
      </c>
      <c r="M70" s="11" cm="1">
        <f t="array" ref="M70">IF(Invoices[[#This Row],[Status]]="Open",MAX(0,AsOf-Invoices[[#This Row],[Due Date]]),IF(Invoices[[#This Row],[Paid Date]]="","",MAX(0,Invoices[[#This Row],[Paid Date]]-Invoices[[#This Row],[Due Date]])))</f>
        <v>0</v>
      </c>
      <c r="N7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1" spans="1:14" ht="17.100000000000001" customHeight="1" x14ac:dyDescent="0.2">
      <c r="A71" s="6" t="s">
        <v>96</v>
      </c>
      <c r="B71" s="7">
        <v>45960</v>
      </c>
      <c r="C71" s="8" t="s">
        <v>13</v>
      </c>
      <c r="D71" s="8" t="s">
        <v>1</v>
      </c>
      <c r="E71" s="9">
        <v>30</v>
      </c>
      <c r="F71" s="7">
        <v>45990</v>
      </c>
      <c r="G71" s="10">
        <v>5658.98</v>
      </c>
      <c r="H71" s="10">
        <v>848.85</v>
      </c>
      <c r="I71" s="10">
        <v>6507.83</v>
      </c>
      <c r="J71" s="9" t="s">
        <v>2</v>
      </c>
      <c r="K71" s="7">
        <v>45986</v>
      </c>
      <c r="L71" s="9" t="s">
        <v>3</v>
      </c>
      <c r="M71" s="11" cm="1">
        <f t="array" ref="M71">IF(Invoices[[#This Row],[Status]]="Open",MAX(0,AsOf-Invoices[[#This Row],[Due Date]]),IF(Invoices[[#This Row],[Paid Date]]="","",MAX(0,Invoices[[#This Row],[Paid Date]]-Invoices[[#This Row],[Due Date]])))</f>
        <v>0</v>
      </c>
      <c r="N7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2" spans="1:14" ht="17.100000000000001" customHeight="1" x14ac:dyDescent="0.2">
      <c r="A72" s="6" t="s">
        <v>97</v>
      </c>
      <c r="B72" s="7">
        <v>45963</v>
      </c>
      <c r="C72" s="8" t="s">
        <v>24</v>
      </c>
      <c r="D72" s="8" t="s">
        <v>25</v>
      </c>
      <c r="E72" s="9">
        <v>60</v>
      </c>
      <c r="F72" s="7">
        <v>46023</v>
      </c>
      <c r="G72" s="10">
        <v>9704.39</v>
      </c>
      <c r="H72" s="10">
        <v>1455.66</v>
      </c>
      <c r="I72" s="10">
        <v>11160.05</v>
      </c>
      <c r="J72" s="9" t="s">
        <v>2</v>
      </c>
      <c r="K72" s="7">
        <v>46023</v>
      </c>
      <c r="L72" s="9" t="s">
        <v>3</v>
      </c>
      <c r="M72" s="11" cm="1">
        <f t="array" ref="M72">IF(Invoices[[#This Row],[Status]]="Open",MAX(0,AsOf-Invoices[[#This Row],[Due Date]]),IF(Invoices[[#This Row],[Paid Date]]="","",MAX(0,Invoices[[#This Row],[Paid Date]]-Invoices[[#This Row],[Due Date]])))</f>
        <v>0</v>
      </c>
      <c r="N7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3" spans="1:14" ht="17.100000000000001" customHeight="1" x14ac:dyDescent="0.2">
      <c r="A73" s="6" t="s">
        <v>98</v>
      </c>
      <c r="B73" s="7">
        <v>45963</v>
      </c>
      <c r="C73" s="8" t="s">
        <v>45</v>
      </c>
      <c r="D73" s="8" t="s">
        <v>17</v>
      </c>
      <c r="E73" s="9">
        <v>30</v>
      </c>
      <c r="F73" s="7">
        <v>45993</v>
      </c>
      <c r="G73" s="10">
        <v>2445.9699999999998</v>
      </c>
      <c r="H73" s="10">
        <v>366.9</v>
      </c>
      <c r="I73" s="10">
        <v>2812.87</v>
      </c>
      <c r="J73" s="9" t="s">
        <v>2</v>
      </c>
      <c r="K73" s="7">
        <v>46003</v>
      </c>
      <c r="L73" s="9" t="s">
        <v>3</v>
      </c>
      <c r="M73" s="11" cm="1">
        <f t="array" ref="M73">IF(Invoices[[#This Row],[Status]]="Open",MAX(0,AsOf-Invoices[[#This Row],[Due Date]]),IF(Invoices[[#This Row],[Paid Date]]="","",MAX(0,Invoices[[#This Row],[Paid Date]]-Invoices[[#This Row],[Due Date]])))</f>
        <v>10</v>
      </c>
      <c r="N7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4" spans="1:14" ht="17.100000000000001" customHeight="1" x14ac:dyDescent="0.2">
      <c r="A74" s="6" t="s">
        <v>99</v>
      </c>
      <c r="B74" s="7">
        <v>45964</v>
      </c>
      <c r="C74" s="8" t="s">
        <v>89</v>
      </c>
      <c r="D74" s="8" t="s">
        <v>39</v>
      </c>
      <c r="E74" s="9">
        <v>15</v>
      </c>
      <c r="F74" s="7">
        <v>45979</v>
      </c>
      <c r="G74" s="10">
        <v>3922.14</v>
      </c>
      <c r="H74" s="10">
        <v>588.32000000000005</v>
      </c>
      <c r="I74" s="10">
        <v>4510.46</v>
      </c>
      <c r="J74" s="9" t="s">
        <v>2</v>
      </c>
      <c r="K74" s="7">
        <v>45979</v>
      </c>
      <c r="L74" s="9" t="s">
        <v>3</v>
      </c>
      <c r="M74" s="11" cm="1">
        <f t="array" ref="M74">IF(Invoices[[#This Row],[Status]]="Open",MAX(0,AsOf-Invoices[[#This Row],[Due Date]]),IF(Invoices[[#This Row],[Paid Date]]="","",MAX(0,Invoices[[#This Row],[Paid Date]]-Invoices[[#This Row],[Due Date]])))</f>
        <v>0</v>
      </c>
      <c r="N7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5" spans="1:14" ht="17.100000000000001" customHeight="1" x14ac:dyDescent="0.2">
      <c r="A75" s="6" t="s">
        <v>100</v>
      </c>
      <c r="B75" s="7">
        <v>45964</v>
      </c>
      <c r="C75" s="8" t="s">
        <v>69</v>
      </c>
      <c r="D75" s="8" t="s">
        <v>6</v>
      </c>
      <c r="E75" s="9">
        <v>45</v>
      </c>
      <c r="F75" s="7">
        <v>46009</v>
      </c>
      <c r="G75" s="10">
        <v>6147.79</v>
      </c>
      <c r="H75" s="10">
        <v>922.17</v>
      </c>
      <c r="I75" s="10">
        <v>7069.96</v>
      </c>
      <c r="J75" s="9" t="s">
        <v>2</v>
      </c>
      <c r="K75" s="7">
        <v>46009</v>
      </c>
      <c r="L75" s="9" t="s">
        <v>3</v>
      </c>
      <c r="M75" s="11" cm="1">
        <f t="array" ref="M75">IF(Invoices[[#This Row],[Status]]="Open",MAX(0,AsOf-Invoices[[#This Row],[Due Date]]),IF(Invoices[[#This Row],[Paid Date]]="","",MAX(0,Invoices[[#This Row],[Paid Date]]-Invoices[[#This Row],[Due Date]])))</f>
        <v>0</v>
      </c>
      <c r="N7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6" spans="1:14" ht="17.100000000000001" customHeight="1" x14ac:dyDescent="0.2">
      <c r="A76" s="6" t="s">
        <v>101</v>
      </c>
      <c r="B76" s="7">
        <v>45964</v>
      </c>
      <c r="C76" s="8" t="s">
        <v>31</v>
      </c>
      <c r="D76" s="8" t="s">
        <v>6</v>
      </c>
      <c r="E76" s="9">
        <v>60</v>
      </c>
      <c r="F76" s="7">
        <v>46024</v>
      </c>
      <c r="G76" s="10">
        <v>10716.27</v>
      </c>
      <c r="H76" s="10">
        <v>1607.44</v>
      </c>
      <c r="I76" s="10">
        <v>12323.71</v>
      </c>
      <c r="J76" s="9" t="s">
        <v>2</v>
      </c>
      <c r="K76" s="7">
        <v>46022</v>
      </c>
      <c r="L76" s="9" t="s">
        <v>3</v>
      </c>
      <c r="M76" s="11" cm="1">
        <f t="array" ref="M76">IF(Invoices[[#This Row],[Status]]="Open",MAX(0,AsOf-Invoices[[#This Row],[Due Date]]),IF(Invoices[[#This Row],[Paid Date]]="","",MAX(0,Invoices[[#This Row],[Paid Date]]-Invoices[[#This Row],[Due Date]])))</f>
        <v>0</v>
      </c>
      <c r="N7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7" spans="1:14" ht="17.100000000000001" customHeight="1" x14ac:dyDescent="0.2">
      <c r="A77" s="6" t="s">
        <v>102</v>
      </c>
      <c r="B77" s="7">
        <v>45965</v>
      </c>
      <c r="C77" s="8" t="s">
        <v>66</v>
      </c>
      <c r="D77" s="8" t="s">
        <v>62</v>
      </c>
      <c r="E77" s="9">
        <v>15</v>
      </c>
      <c r="F77" s="7">
        <v>45980</v>
      </c>
      <c r="G77" s="10">
        <v>1028.6600000000001</v>
      </c>
      <c r="H77" s="10">
        <v>154.30000000000001</v>
      </c>
      <c r="I77" s="10">
        <v>1182.96</v>
      </c>
      <c r="J77" s="9" t="s">
        <v>2</v>
      </c>
      <c r="K77" s="7">
        <v>45980</v>
      </c>
      <c r="L77" s="9" t="s">
        <v>3</v>
      </c>
      <c r="M77" s="11" cm="1">
        <f t="array" ref="M77">IF(Invoices[[#This Row],[Status]]="Open",MAX(0,AsOf-Invoices[[#This Row],[Due Date]]),IF(Invoices[[#This Row],[Paid Date]]="","",MAX(0,Invoices[[#This Row],[Paid Date]]-Invoices[[#This Row],[Due Date]])))</f>
        <v>0</v>
      </c>
      <c r="N7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8" spans="1:14" ht="17.100000000000001" customHeight="1" x14ac:dyDescent="0.2">
      <c r="A78" s="6" t="s">
        <v>103</v>
      </c>
      <c r="B78" s="7">
        <v>45965</v>
      </c>
      <c r="C78" s="8" t="s">
        <v>13</v>
      </c>
      <c r="D78" s="8" t="s">
        <v>1</v>
      </c>
      <c r="E78" s="9">
        <v>30</v>
      </c>
      <c r="F78" s="7">
        <v>45995</v>
      </c>
      <c r="G78" s="10">
        <v>6317.96</v>
      </c>
      <c r="H78" s="10">
        <v>947.69</v>
      </c>
      <c r="I78" s="10">
        <v>7265.65</v>
      </c>
      <c r="J78" s="9" t="s">
        <v>2</v>
      </c>
      <c r="K78" s="7">
        <v>45993</v>
      </c>
      <c r="L78" s="9" t="s">
        <v>3</v>
      </c>
      <c r="M78" s="11" cm="1">
        <f t="array" ref="M78">IF(Invoices[[#This Row],[Status]]="Open",MAX(0,AsOf-Invoices[[#This Row],[Due Date]]),IF(Invoices[[#This Row],[Paid Date]]="","",MAX(0,Invoices[[#This Row],[Paid Date]]-Invoices[[#This Row],[Due Date]])))</f>
        <v>0</v>
      </c>
      <c r="N7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9" spans="1:14" ht="17.100000000000001" customHeight="1" x14ac:dyDescent="0.2">
      <c r="A79" s="6" t="s">
        <v>104</v>
      </c>
      <c r="B79" s="7">
        <v>45966</v>
      </c>
      <c r="C79" s="8" t="s">
        <v>5</v>
      </c>
      <c r="D79" s="8" t="s">
        <v>6</v>
      </c>
      <c r="E79" s="9">
        <v>45</v>
      </c>
      <c r="F79" s="7">
        <v>46011</v>
      </c>
      <c r="G79" s="10">
        <v>9407.25</v>
      </c>
      <c r="H79" s="10">
        <v>1411.09</v>
      </c>
      <c r="I79" s="10">
        <v>10818.34</v>
      </c>
      <c r="J79" s="9" t="s">
        <v>2</v>
      </c>
      <c r="K79" s="7">
        <v>46011</v>
      </c>
      <c r="L79" s="9" t="s">
        <v>3</v>
      </c>
      <c r="M79" s="11" cm="1">
        <f t="array" ref="M79">IF(Invoices[[#This Row],[Status]]="Open",MAX(0,AsOf-Invoices[[#This Row],[Due Date]]),IF(Invoices[[#This Row],[Paid Date]]="","",MAX(0,Invoices[[#This Row],[Paid Date]]-Invoices[[#This Row],[Due Date]])))</f>
        <v>0</v>
      </c>
      <c r="N7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80" spans="1:14" ht="17.100000000000001" customHeight="1" x14ac:dyDescent="0.2">
      <c r="A80" s="6" t="s">
        <v>105</v>
      </c>
      <c r="B80" s="7">
        <v>45966</v>
      </c>
      <c r="C80" s="8" t="s">
        <v>31</v>
      </c>
      <c r="D80" s="8" t="s">
        <v>6</v>
      </c>
      <c r="E80" s="9">
        <v>60</v>
      </c>
      <c r="F80" s="7">
        <v>46026</v>
      </c>
      <c r="G80" s="10">
        <v>8555.83</v>
      </c>
      <c r="H80" s="10">
        <v>1283.3699999999999</v>
      </c>
      <c r="I80" s="10">
        <v>9839.2000000000007</v>
      </c>
      <c r="J80" s="9" t="s">
        <v>2</v>
      </c>
      <c r="K80" s="7">
        <v>46029</v>
      </c>
      <c r="L80" s="9" t="s">
        <v>3</v>
      </c>
      <c r="M80" s="11" cm="1">
        <f t="array" ref="M80">IF(Invoices[[#This Row],[Status]]="Open",MAX(0,AsOf-Invoices[[#This Row],[Due Date]]),IF(Invoices[[#This Row],[Paid Date]]="","",MAX(0,Invoices[[#This Row],[Paid Date]]-Invoices[[#This Row],[Due Date]])))</f>
        <v>3</v>
      </c>
      <c r="N8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81" spans="1:14" ht="17.100000000000001" customHeight="1" x14ac:dyDescent="0.2">
      <c r="A81" s="6" t="s">
        <v>106</v>
      </c>
      <c r="B81" s="7">
        <v>45966</v>
      </c>
      <c r="C81" s="8" t="s">
        <v>31</v>
      </c>
      <c r="D81" s="8" t="s">
        <v>6</v>
      </c>
      <c r="E81" s="9">
        <v>60</v>
      </c>
      <c r="F81" s="7">
        <v>46026</v>
      </c>
      <c r="G81" s="10">
        <v>3583.95</v>
      </c>
      <c r="H81" s="10">
        <v>537.59</v>
      </c>
      <c r="I81" s="10">
        <v>4121.54</v>
      </c>
      <c r="J81" s="9" t="s">
        <v>2</v>
      </c>
      <c r="K81" s="7">
        <v>46033</v>
      </c>
      <c r="L81" s="9" t="s">
        <v>3</v>
      </c>
      <c r="M81" s="11" cm="1">
        <f t="array" ref="M81">IF(Invoices[[#This Row],[Status]]="Open",MAX(0,AsOf-Invoices[[#This Row],[Due Date]]),IF(Invoices[[#This Row],[Paid Date]]="","",MAX(0,Invoices[[#This Row],[Paid Date]]-Invoices[[#This Row],[Due Date]])))</f>
        <v>7</v>
      </c>
      <c r="N8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82" spans="1:14" ht="17.100000000000001" customHeight="1" x14ac:dyDescent="0.2">
      <c r="A82" s="6" t="s">
        <v>107</v>
      </c>
      <c r="B82" s="7">
        <v>45966</v>
      </c>
      <c r="C82" s="8" t="s">
        <v>69</v>
      </c>
      <c r="D82" s="8" t="s">
        <v>6</v>
      </c>
      <c r="E82" s="9">
        <v>45</v>
      </c>
      <c r="F82" s="7">
        <v>46011</v>
      </c>
      <c r="G82" s="10">
        <v>13576.46</v>
      </c>
      <c r="H82" s="10">
        <v>2036.47</v>
      </c>
      <c r="I82" s="10">
        <v>15612.93</v>
      </c>
      <c r="J82" s="9" t="s">
        <v>2</v>
      </c>
      <c r="K82" s="7">
        <v>46011</v>
      </c>
      <c r="L82" s="9" t="s">
        <v>3</v>
      </c>
      <c r="M82" s="11" cm="1">
        <f t="array" ref="M82">IF(Invoices[[#This Row],[Status]]="Open",MAX(0,AsOf-Invoices[[#This Row],[Due Date]]),IF(Invoices[[#This Row],[Paid Date]]="","",MAX(0,Invoices[[#This Row],[Paid Date]]-Invoices[[#This Row],[Due Date]])))</f>
        <v>0</v>
      </c>
      <c r="N8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83" spans="1:14" ht="17.100000000000001" customHeight="1" x14ac:dyDescent="0.2">
      <c r="A83" s="6" t="s">
        <v>108</v>
      </c>
      <c r="B83" s="7">
        <v>45967</v>
      </c>
      <c r="C83" s="8" t="s">
        <v>20</v>
      </c>
      <c r="D83" s="8" t="s">
        <v>21</v>
      </c>
      <c r="E83" s="9">
        <v>30</v>
      </c>
      <c r="F83" s="7">
        <v>45997</v>
      </c>
      <c r="G83" s="10">
        <v>3793.81</v>
      </c>
      <c r="H83" s="10">
        <v>569.07000000000005</v>
      </c>
      <c r="I83" s="10">
        <v>4362.88</v>
      </c>
      <c r="J83" s="9" t="s">
        <v>2</v>
      </c>
      <c r="K83" s="7">
        <v>46007</v>
      </c>
      <c r="L83" s="9" t="s">
        <v>3</v>
      </c>
      <c r="M83" s="11" cm="1">
        <f t="array" ref="M83">IF(Invoices[[#This Row],[Status]]="Open",MAX(0,AsOf-Invoices[[#This Row],[Due Date]]),IF(Invoices[[#This Row],[Paid Date]]="","",MAX(0,Invoices[[#This Row],[Paid Date]]-Invoices[[#This Row],[Due Date]])))</f>
        <v>10</v>
      </c>
      <c r="N8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84" spans="1:14" ht="17.100000000000001" customHeight="1" x14ac:dyDescent="0.2">
      <c r="A84" s="6" t="s">
        <v>109</v>
      </c>
      <c r="B84" s="7">
        <v>45967</v>
      </c>
      <c r="C84" s="8" t="s">
        <v>36</v>
      </c>
      <c r="D84" s="8" t="s">
        <v>17</v>
      </c>
      <c r="E84" s="9">
        <v>30</v>
      </c>
      <c r="F84" s="7">
        <v>45997</v>
      </c>
      <c r="G84" s="10">
        <v>3216.02</v>
      </c>
      <c r="H84" s="10">
        <v>482.4</v>
      </c>
      <c r="I84" s="10">
        <v>3698.42</v>
      </c>
      <c r="J84" s="9" t="s">
        <v>2</v>
      </c>
      <c r="K84" s="7">
        <v>46005</v>
      </c>
      <c r="L84" s="9" t="s">
        <v>3</v>
      </c>
      <c r="M84" s="11" cm="1">
        <f t="array" ref="M84">IF(Invoices[[#This Row],[Status]]="Open",MAX(0,AsOf-Invoices[[#This Row],[Due Date]]),IF(Invoices[[#This Row],[Paid Date]]="","",MAX(0,Invoices[[#This Row],[Paid Date]]-Invoices[[#This Row],[Due Date]])))</f>
        <v>8</v>
      </c>
      <c r="N8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85" spans="1:14" ht="17.100000000000001" customHeight="1" x14ac:dyDescent="0.2">
      <c r="A85" s="6" t="s">
        <v>110</v>
      </c>
      <c r="B85" s="7">
        <v>45968</v>
      </c>
      <c r="C85" s="8" t="s">
        <v>31</v>
      </c>
      <c r="D85" s="8" t="s">
        <v>6</v>
      </c>
      <c r="E85" s="9">
        <v>60</v>
      </c>
      <c r="F85" s="7">
        <v>45968</v>
      </c>
      <c r="G85" s="10">
        <v>-4292.03</v>
      </c>
      <c r="H85" s="10">
        <v>-643.79999999999995</v>
      </c>
      <c r="I85" s="10">
        <v>-4935.83</v>
      </c>
      <c r="J85" s="9" t="s">
        <v>111</v>
      </c>
      <c r="K85" s="7"/>
      <c r="L85" s="9" t="s">
        <v>112</v>
      </c>
      <c r="M85" s="11" t="str" cm="1">
        <f t="array" ref="M85">IF(Invoices[[#This Row],[Status]]="Open",MAX(0,AsOf-Invoices[[#This Row],[Due Date]]),IF(Invoices[[#This Row],[Paid Date]]="","",MAX(0,Invoices[[#This Row],[Paid Date]]-Invoices[[#This Row],[Due Date]])))</f>
        <v/>
      </c>
      <c r="N8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86" spans="1:14" ht="17.100000000000001" customHeight="1" x14ac:dyDescent="0.2">
      <c r="A86" s="6" t="s">
        <v>113</v>
      </c>
      <c r="B86" s="7">
        <v>45968</v>
      </c>
      <c r="C86" s="8" t="s">
        <v>13</v>
      </c>
      <c r="D86" s="8" t="s">
        <v>1</v>
      </c>
      <c r="E86" s="9">
        <v>30</v>
      </c>
      <c r="F86" s="7">
        <v>45968</v>
      </c>
      <c r="G86" s="10">
        <v>-1385.87</v>
      </c>
      <c r="H86" s="10">
        <v>-207.88</v>
      </c>
      <c r="I86" s="10">
        <v>-1593.75</v>
      </c>
      <c r="J86" s="9" t="s">
        <v>111</v>
      </c>
      <c r="K86" s="7"/>
      <c r="L86" s="9" t="s">
        <v>112</v>
      </c>
      <c r="M86" s="11" t="str" cm="1">
        <f t="array" ref="M86">IF(Invoices[[#This Row],[Status]]="Open",MAX(0,AsOf-Invoices[[#This Row],[Due Date]]),IF(Invoices[[#This Row],[Paid Date]]="","",MAX(0,Invoices[[#This Row],[Paid Date]]-Invoices[[#This Row],[Due Date]])))</f>
        <v/>
      </c>
      <c r="N8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87" spans="1:14" ht="17.100000000000001" customHeight="1" x14ac:dyDescent="0.2">
      <c r="A87" s="6" t="s">
        <v>114</v>
      </c>
      <c r="B87" s="7">
        <v>45971</v>
      </c>
      <c r="C87" s="8" t="s">
        <v>31</v>
      </c>
      <c r="D87" s="8" t="s">
        <v>6</v>
      </c>
      <c r="E87" s="9">
        <v>60</v>
      </c>
      <c r="F87" s="7">
        <v>46031</v>
      </c>
      <c r="G87" s="10">
        <v>7679.81</v>
      </c>
      <c r="H87" s="10">
        <v>1151.97</v>
      </c>
      <c r="I87" s="10">
        <v>8831.7800000000007</v>
      </c>
      <c r="J87" s="9" t="s">
        <v>2</v>
      </c>
      <c r="K87" s="7">
        <v>46031</v>
      </c>
      <c r="L87" s="9" t="s">
        <v>3</v>
      </c>
      <c r="M87" s="11" cm="1">
        <f t="array" ref="M87">IF(Invoices[[#This Row],[Status]]="Open",MAX(0,AsOf-Invoices[[#This Row],[Due Date]]),IF(Invoices[[#This Row],[Paid Date]]="","",MAX(0,Invoices[[#This Row],[Paid Date]]-Invoices[[#This Row],[Due Date]])))</f>
        <v>0</v>
      </c>
      <c r="N8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88" spans="1:14" ht="17.100000000000001" customHeight="1" x14ac:dyDescent="0.2">
      <c r="A88" s="6" t="s">
        <v>115</v>
      </c>
      <c r="B88" s="7">
        <v>45971</v>
      </c>
      <c r="C88" s="8" t="s">
        <v>95</v>
      </c>
      <c r="D88" s="8" t="s">
        <v>62</v>
      </c>
      <c r="E88" s="9">
        <v>15</v>
      </c>
      <c r="F88" s="7">
        <v>45986</v>
      </c>
      <c r="G88" s="10">
        <v>2038.18</v>
      </c>
      <c r="H88" s="10">
        <v>305.73</v>
      </c>
      <c r="I88" s="10">
        <v>2343.91</v>
      </c>
      <c r="J88" s="9" t="s">
        <v>2</v>
      </c>
      <c r="K88" s="7">
        <v>45992</v>
      </c>
      <c r="L88" s="9" t="s">
        <v>3</v>
      </c>
      <c r="M88" s="11" cm="1">
        <f t="array" ref="M88">IF(Invoices[[#This Row],[Status]]="Open",MAX(0,AsOf-Invoices[[#This Row],[Due Date]]),IF(Invoices[[#This Row],[Paid Date]]="","",MAX(0,Invoices[[#This Row],[Paid Date]]-Invoices[[#This Row],[Due Date]])))</f>
        <v>6</v>
      </c>
      <c r="N8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89" spans="1:14" ht="17.100000000000001" customHeight="1" x14ac:dyDescent="0.2">
      <c r="A89" s="6" t="s">
        <v>116</v>
      </c>
      <c r="B89" s="7">
        <v>45971</v>
      </c>
      <c r="C89" s="8" t="s">
        <v>24</v>
      </c>
      <c r="D89" s="8" t="s">
        <v>25</v>
      </c>
      <c r="E89" s="9">
        <v>60</v>
      </c>
      <c r="F89" s="7">
        <v>46031</v>
      </c>
      <c r="G89" s="10">
        <v>15405.24</v>
      </c>
      <c r="H89" s="10">
        <v>2310.79</v>
      </c>
      <c r="I89" s="10">
        <v>17716.03</v>
      </c>
      <c r="J89" s="9" t="s">
        <v>2</v>
      </c>
      <c r="K89" s="7">
        <v>46029</v>
      </c>
      <c r="L89" s="9" t="s">
        <v>3</v>
      </c>
      <c r="M89" s="11" cm="1">
        <f t="array" ref="M89">IF(Invoices[[#This Row],[Status]]="Open",MAX(0,AsOf-Invoices[[#This Row],[Due Date]]),IF(Invoices[[#This Row],[Paid Date]]="","",MAX(0,Invoices[[#This Row],[Paid Date]]-Invoices[[#This Row],[Due Date]])))</f>
        <v>0</v>
      </c>
      <c r="N8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90" spans="1:14" ht="17.100000000000001" customHeight="1" x14ac:dyDescent="0.2">
      <c r="A90" s="6" t="s">
        <v>117</v>
      </c>
      <c r="B90" s="7">
        <v>45972</v>
      </c>
      <c r="C90" s="8" t="s">
        <v>61</v>
      </c>
      <c r="D90" s="8" t="s">
        <v>62</v>
      </c>
      <c r="E90" s="9">
        <v>15</v>
      </c>
      <c r="F90" s="7">
        <v>45987</v>
      </c>
      <c r="G90" s="10">
        <v>885.57</v>
      </c>
      <c r="H90" s="10">
        <v>132.84</v>
      </c>
      <c r="I90" s="10">
        <v>1018.41</v>
      </c>
      <c r="J90" s="9" t="s">
        <v>2</v>
      </c>
      <c r="K90" s="7">
        <v>46001</v>
      </c>
      <c r="L90" s="9" t="s">
        <v>3</v>
      </c>
      <c r="M90" s="11" cm="1">
        <f t="array" ref="M90">IF(Invoices[[#This Row],[Status]]="Open",MAX(0,AsOf-Invoices[[#This Row],[Due Date]]),IF(Invoices[[#This Row],[Paid Date]]="","",MAX(0,Invoices[[#This Row],[Paid Date]]-Invoices[[#This Row],[Due Date]])))</f>
        <v>14</v>
      </c>
      <c r="N9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91" spans="1:14" ht="17.100000000000001" customHeight="1" x14ac:dyDescent="0.2">
      <c r="A91" s="6" t="s">
        <v>118</v>
      </c>
      <c r="B91" s="7">
        <v>45973</v>
      </c>
      <c r="C91" s="8" t="s">
        <v>24</v>
      </c>
      <c r="D91" s="8" t="s">
        <v>25</v>
      </c>
      <c r="E91" s="9">
        <v>60</v>
      </c>
      <c r="F91" s="7">
        <v>46033</v>
      </c>
      <c r="G91" s="10">
        <v>13632.98</v>
      </c>
      <c r="H91" s="10">
        <v>2044.95</v>
      </c>
      <c r="I91" s="10">
        <v>15677.93</v>
      </c>
      <c r="J91" s="9" t="s">
        <v>2</v>
      </c>
      <c r="K91" s="7">
        <v>46034</v>
      </c>
      <c r="L91" s="9" t="s">
        <v>3</v>
      </c>
      <c r="M91" s="11" cm="1">
        <f t="array" ref="M91">IF(Invoices[[#This Row],[Status]]="Open",MAX(0,AsOf-Invoices[[#This Row],[Due Date]]),IF(Invoices[[#This Row],[Paid Date]]="","",MAX(0,Invoices[[#This Row],[Paid Date]]-Invoices[[#This Row],[Due Date]])))</f>
        <v>1</v>
      </c>
      <c r="N9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92" spans="1:14" ht="17.100000000000001" customHeight="1" x14ac:dyDescent="0.2">
      <c r="A92" s="6" t="s">
        <v>119</v>
      </c>
      <c r="B92" s="7">
        <v>45973</v>
      </c>
      <c r="C92" s="8" t="s">
        <v>56</v>
      </c>
      <c r="D92" s="8" t="s">
        <v>17</v>
      </c>
      <c r="E92" s="9">
        <v>30</v>
      </c>
      <c r="F92" s="7">
        <v>46003</v>
      </c>
      <c r="G92" s="10">
        <v>1769.28</v>
      </c>
      <c r="H92" s="10">
        <v>265.39</v>
      </c>
      <c r="I92" s="10">
        <v>2034.67</v>
      </c>
      <c r="J92" s="9" t="s">
        <v>2</v>
      </c>
      <c r="K92" s="7">
        <v>46084</v>
      </c>
      <c r="L92" s="9" t="s">
        <v>3</v>
      </c>
      <c r="M92" s="11" cm="1">
        <f t="array" ref="M92">IF(Invoices[[#This Row],[Status]]="Open",MAX(0,AsOf-Invoices[[#This Row],[Due Date]]),IF(Invoices[[#This Row],[Paid Date]]="","",MAX(0,Invoices[[#This Row],[Paid Date]]-Invoices[[#This Row],[Due Date]])))</f>
        <v>81</v>
      </c>
      <c r="N9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93" spans="1:14" ht="17.100000000000001" customHeight="1" x14ac:dyDescent="0.2">
      <c r="A93" s="6" t="s">
        <v>120</v>
      </c>
      <c r="B93" s="7">
        <v>45974</v>
      </c>
      <c r="C93" s="8" t="s">
        <v>31</v>
      </c>
      <c r="D93" s="8" t="s">
        <v>6</v>
      </c>
      <c r="E93" s="9">
        <v>60</v>
      </c>
      <c r="F93" s="7">
        <v>46034</v>
      </c>
      <c r="G93" s="10">
        <v>7134</v>
      </c>
      <c r="H93" s="10">
        <v>1070.0999999999999</v>
      </c>
      <c r="I93" s="10">
        <v>8204.1</v>
      </c>
      <c r="J93" s="9" t="s">
        <v>2</v>
      </c>
      <c r="K93" s="7">
        <v>46034</v>
      </c>
      <c r="L93" s="9" t="s">
        <v>3</v>
      </c>
      <c r="M93" s="11" cm="1">
        <f t="array" ref="M93">IF(Invoices[[#This Row],[Status]]="Open",MAX(0,AsOf-Invoices[[#This Row],[Due Date]]),IF(Invoices[[#This Row],[Paid Date]]="","",MAX(0,Invoices[[#This Row],[Paid Date]]-Invoices[[#This Row],[Due Date]])))</f>
        <v>0</v>
      </c>
      <c r="N9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94" spans="1:14" ht="17.100000000000001" customHeight="1" x14ac:dyDescent="0.2">
      <c r="A94" s="6" t="s">
        <v>121</v>
      </c>
      <c r="B94" s="7">
        <v>45974</v>
      </c>
      <c r="C94" s="8" t="s">
        <v>13</v>
      </c>
      <c r="D94" s="8" t="s">
        <v>1</v>
      </c>
      <c r="E94" s="9">
        <v>30</v>
      </c>
      <c r="F94" s="7">
        <v>46004</v>
      </c>
      <c r="G94" s="10">
        <v>3872.35</v>
      </c>
      <c r="H94" s="10">
        <v>580.85</v>
      </c>
      <c r="I94" s="10">
        <v>4453.2</v>
      </c>
      <c r="J94" s="9" t="s">
        <v>2</v>
      </c>
      <c r="K94" s="7">
        <v>45999</v>
      </c>
      <c r="L94" s="9" t="s">
        <v>3</v>
      </c>
      <c r="M94" s="11" cm="1">
        <f t="array" ref="M94">IF(Invoices[[#This Row],[Status]]="Open",MAX(0,AsOf-Invoices[[#This Row],[Due Date]]),IF(Invoices[[#This Row],[Paid Date]]="","",MAX(0,Invoices[[#This Row],[Paid Date]]-Invoices[[#This Row],[Due Date]])))</f>
        <v>0</v>
      </c>
      <c r="N9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95" spans="1:14" ht="17.100000000000001" customHeight="1" x14ac:dyDescent="0.2">
      <c r="A95" s="6" t="s">
        <v>122</v>
      </c>
      <c r="B95" s="7">
        <v>45974</v>
      </c>
      <c r="C95" s="8" t="s">
        <v>69</v>
      </c>
      <c r="D95" s="8" t="s">
        <v>6</v>
      </c>
      <c r="E95" s="9">
        <v>45</v>
      </c>
      <c r="F95" s="7">
        <v>46019</v>
      </c>
      <c r="G95" s="10">
        <v>16467.849999999999</v>
      </c>
      <c r="H95" s="10">
        <v>2470.1799999999998</v>
      </c>
      <c r="I95" s="10">
        <v>18938.03</v>
      </c>
      <c r="J95" s="9" t="s">
        <v>2</v>
      </c>
      <c r="K95" s="7">
        <v>46019</v>
      </c>
      <c r="L95" s="9" t="s">
        <v>3</v>
      </c>
      <c r="M95" s="11" cm="1">
        <f t="array" ref="M95">IF(Invoices[[#This Row],[Status]]="Open",MAX(0,AsOf-Invoices[[#This Row],[Due Date]]),IF(Invoices[[#This Row],[Paid Date]]="","",MAX(0,Invoices[[#This Row],[Paid Date]]-Invoices[[#This Row],[Due Date]])))</f>
        <v>0</v>
      </c>
      <c r="N9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96" spans="1:14" ht="17.100000000000001" customHeight="1" x14ac:dyDescent="0.2">
      <c r="A96" s="6" t="s">
        <v>123</v>
      </c>
      <c r="B96" s="7">
        <v>45977</v>
      </c>
      <c r="C96" s="8" t="s">
        <v>13</v>
      </c>
      <c r="D96" s="8" t="s">
        <v>1</v>
      </c>
      <c r="E96" s="9">
        <v>30</v>
      </c>
      <c r="F96" s="7">
        <v>46007</v>
      </c>
      <c r="G96" s="10">
        <v>2695.71</v>
      </c>
      <c r="H96" s="10">
        <v>404.36</v>
      </c>
      <c r="I96" s="10">
        <v>3100.07</v>
      </c>
      <c r="J96" s="9" t="s">
        <v>2</v>
      </c>
      <c r="K96" s="7">
        <v>46005</v>
      </c>
      <c r="L96" s="9" t="s">
        <v>3</v>
      </c>
      <c r="M96" s="11" cm="1">
        <f t="array" ref="M96">IF(Invoices[[#This Row],[Status]]="Open",MAX(0,AsOf-Invoices[[#This Row],[Due Date]]),IF(Invoices[[#This Row],[Paid Date]]="","",MAX(0,Invoices[[#This Row],[Paid Date]]-Invoices[[#This Row],[Due Date]])))</f>
        <v>0</v>
      </c>
      <c r="N9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97" spans="1:14" ht="17.100000000000001" customHeight="1" x14ac:dyDescent="0.2">
      <c r="A97" s="6" t="s">
        <v>124</v>
      </c>
      <c r="B97" s="7">
        <v>45977</v>
      </c>
      <c r="C97" s="8" t="s">
        <v>45</v>
      </c>
      <c r="D97" s="8" t="s">
        <v>17</v>
      </c>
      <c r="E97" s="9">
        <v>30</v>
      </c>
      <c r="F97" s="7">
        <v>46007</v>
      </c>
      <c r="G97" s="10">
        <v>2835.61</v>
      </c>
      <c r="H97" s="10">
        <v>425.34</v>
      </c>
      <c r="I97" s="10">
        <v>3260.95</v>
      </c>
      <c r="J97" s="9" t="s">
        <v>2</v>
      </c>
      <c r="K97" s="7">
        <v>46006</v>
      </c>
      <c r="L97" s="9" t="s">
        <v>3</v>
      </c>
      <c r="M97" s="11" cm="1">
        <f t="array" ref="M97">IF(Invoices[[#This Row],[Status]]="Open",MAX(0,AsOf-Invoices[[#This Row],[Due Date]]),IF(Invoices[[#This Row],[Paid Date]]="","",MAX(0,Invoices[[#This Row],[Paid Date]]-Invoices[[#This Row],[Due Date]])))</f>
        <v>0</v>
      </c>
      <c r="N9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98" spans="1:14" ht="17.100000000000001" customHeight="1" x14ac:dyDescent="0.2">
      <c r="A98" s="6" t="s">
        <v>125</v>
      </c>
      <c r="B98" s="7">
        <v>45977</v>
      </c>
      <c r="C98" s="8" t="s">
        <v>31</v>
      </c>
      <c r="D98" s="8" t="s">
        <v>6</v>
      </c>
      <c r="E98" s="9">
        <v>60</v>
      </c>
      <c r="F98" s="7">
        <v>46037</v>
      </c>
      <c r="G98" s="10">
        <v>15359.23</v>
      </c>
      <c r="H98" s="10">
        <v>2303.88</v>
      </c>
      <c r="I98" s="10">
        <v>17663.11</v>
      </c>
      <c r="J98" s="9" t="s">
        <v>2</v>
      </c>
      <c r="K98" s="7">
        <v>46038</v>
      </c>
      <c r="L98" s="9" t="s">
        <v>3</v>
      </c>
      <c r="M98" s="11" cm="1">
        <f t="array" ref="M98">IF(Invoices[[#This Row],[Status]]="Open",MAX(0,AsOf-Invoices[[#This Row],[Due Date]]),IF(Invoices[[#This Row],[Paid Date]]="","",MAX(0,Invoices[[#This Row],[Paid Date]]-Invoices[[#This Row],[Due Date]])))</f>
        <v>1</v>
      </c>
      <c r="N9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99" spans="1:14" ht="17.100000000000001" customHeight="1" x14ac:dyDescent="0.2">
      <c r="A99" s="6" t="s">
        <v>126</v>
      </c>
      <c r="B99" s="7">
        <v>45978</v>
      </c>
      <c r="C99" s="8" t="s">
        <v>31</v>
      </c>
      <c r="D99" s="8" t="s">
        <v>6</v>
      </c>
      <c r="E99" s="9">
        <v>60</v>
      </c>
      <c r="F99" s="7">
        <v>46038</v>
      </c>
      <c r="G99" s="10">
        <v>5006.53</v>
      </c>
      <c r="H99" s="10">
        <v>750.98</v>
      </c>
      <c r="I99" s="10">
        <v>5757.51</v>
      </c>
      <c r="J99" s="9" t="s">
        <v>2</v>
      </c>
      <c r="K99" s="7">
        <v>46040</v>
      </c>
      <c r="L99" s="9" t="s">
        <v>3</v>
      </c>
      <c r="M99" s="11" cm="1">
        <f t="array" ref="M99">IF(Invoices[[#This Row],[Status]]="Open",MAX(0,AsOf-Invoices[[#This Row],[Due Date]]),IF(Invoices[[#This Row],[Paid Date]]="","",MAX(0,Invoices[[#This Row],[Paid Date]]-Invoices[[#This Row],[Due Date]])))</f>
        <v>2</v>
      </c>
      <c r="N9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00" spans="1:14" ht="17.100000000000001" customHeight="1" x14ac:dyDescent="0.2">
      <c r="A100" s="6" t="s">
        <v>127</v>
      </c>
      <c r="B100" s="7">
        <v>45978</v>
      </c>
      <c r="C100" s="8" t="s">
        <v>8</v>
      </c>
      <c r="D100" s="8" t="s">
        <v>6</v>
      </c>
      <c r="E100" s="9">
        <v>45</v>
      </c>
      <c r="F100" s="7">
        <v>46023</v>
      </c>
      <c r="G100" s="10">
        <v>5660.99</v>
      </c>
      <c r="H100" s="10">
        <v>849.15</v>
      </c>
      <c r="I100" s="10">
        <v>6510.14</v>
      </c>
      <c r="J100" s="9" t="s">
        <v>2</v>
      </c>
      <c r="K100" s="7">
        <v>46026</v>
      </c>
      <c r="L100" s="9" t="s">
        <v>3</v>
      </c>
      <c r="M100" s="11" cm="1">
        <f t="array" ref="M100">IF(Invoices[[#This Row],[Status]]="Open",MAX(0,AsOf-Invoices[[#This Row],[Due Date]]),IF(Invoices[[#This Row],[Paid Date]]="","",MAX(0,Invoices[[#This Row],[Paid Date]]-Invoices[[#This Row],[Due Date]])))</f>
        <v>3</v>
      </c>
      <c r="N10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01" spans="1:14" ht="17.100000000000001" customHeight="1" x14ac:dyDescent="0.2">
      <c r="A101" s="6" t="s">
        <v>128</v>
      </c>
      <c r="B101" s="7">
        <v>45978</v>
      </c>
      <c r="C101" s="8" t="s">
        <v>31</v>
      </c>
      <c r="D101" s="8" t="s">
        <v>6</v>
      </c>
      <c r="E101" s="9">
        <v>60</v>
      </c>
      <c r="F101" s="7">
        <v>46038</v>
      </c>
      <c r="G101" s="10">
        <v>6800.89</v>
      </c>
      <c r="H101" s="10">
        <v>1020.13</v>
      </c>
      <c r="I101" s="10">
        <v>7821.02</v>
      </c>
      <c r="J101" s="9" t="s">
        <v>2</v>
      </c>
      <c r="K101" s="7">
        <v>46041</v>
      </c>
      <c r="L101" s="9" t="s">
        <v>3</v>
      </c>
      <c r="M101" s="11" cm="1">
        <f t="array" ref="M101">IF(Invoices[[#This Row],[Status]]="Open",MAX(0,AsOf-Invoices[[#This Row],[Due Date]]),IF(Invoices[[#This Row],[Paid Date]]="","",MAX(0,Invoices[[#This Row],[Paid Date]]-Invoices[[#This Row],[Due Date]])))</f>
        <v>3</v>
      </c>
      <c r="N10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02" spans="1:14" ht="17.100000000000001" customHeight="1" x14ac:dyDescent="0.2">
      <c r="A102" s="6" t="s">
        <v>129</v>
      </c>
      <c r="B102" s="7">
        <v>45978</v>
      </c>
      <c r="C102" s="8" t="s">
        <v>10</v>
      </c>
      <c r="D102" s="8" t="s">
        <v>11</v>
      </c>
      <c r="E102" s="9">
        <v>30</v>
      </c>
      <c r="F102" s="7">
        <v>46008</v>
      </c>
      <c r="G102" s="10">
        <v>2904.39</v>
      </c>
      <c r="H102" s="10">
        <v>435.66</v>
      </c>
      <c r="I102" s="10">
        <v>3340.05</v>
      </c>
      <c r="J102" s="9" t="s">
        <v>2</v>
      </c>
      <c r="K102" s="7">
        <v>46013</v>
      </c>
      <c r="L102" s="9" t="s">
        <v>3</v>
      </c>
      <c r="M102" s="11" cm="1">
        <f t="array" ref="M102">IF(Invoices[[#This Row],[Status]]="Open",MAX(0,AsOf-Invoices[[#This Row],[Due Date]]),IF(Invoices[[#This Row],[Paid Date]]="","",MAX(0,Invoices[[#This Row],[Paid Date]]-Invoices[[#This Row],[Due Date]])))</f>
        <v>5</v>
      </c>
      <c r="N10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03" spans="1:14" ht="17.100000000000001" customHeight="1" x14ac:dyDescent="0.2">
      <c r="A103" s="6" t="s">
        <v>130</v>
      </c>
      <c r="B103" s="7">
        <v>45978</v>
      </c>
      <c r="C103" s="8" t="s">
        <v>75</v>
      </c>
      <c r="D103" s="8" t="s">
        <v>21</v>
      </c>
      <c r="E103" s="9">
        <v>30</v>
      </c>
      <c r="F103" s="7">
        <v>46008</v>
      </c>
      <c r="G103" s="10">
        <v>2378.5500000000002</v>
      </c>
      <c r="H103" s="10">
        <v>356.78</v>
      </c>
      <c r="I103" s="10">
        <v>2735.33</v>
      </c>
      <c r="J103" s="9" t="s">
        <v>2</v>
      </c>
      <c r="K103" s="7">
        <v>46011</v>
      </c>
      <c r="L103" s="9" t="s">
        <v>3</v>
      </c>
      <c r="M103" s="11" cm="1">
        <f t="array" ref="M103">IF(Invoices[[#This Row],[Status]]="Open",MAX(0,AsOf-Invoices[[#This Row],[Due Date]]),IF(Invoices[[#This Row],[Paid Date]]="","",MAX(0,Invoices[[#This Row],[Paid Date]]-Invoices[[#This Row],[Due Date]])))</f>
        <v>3</v>
      </c>
      <c r="N10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04" spans="1:14" ht="17.100000000000001" customHeight="1" x14ac:dyDescent="0.2">
      <c r="A104" s="6" t="s">
        <v>131</v>
      </c>
      <c r="B104" s="7">
        <v>45979</v>
      </c>
      <c r="C104" s="8" t="s">
        <v>66</v>
      </c>
      <c r="D104" s="8" t="s">
        <v>62</v>
      </c>
      <c r="E104" s="9">
        <v>15</v>
      </c>
      <c r="F104" s="7">
        <v>45994</v>
      </c>
      <c r="G104" s="10">
        <v>901.58</v>
      </c>
      <c r="H104" s="10">
        <v>135.24</v>
      </c>
      <c r="I104" s="10">
        <v>1036.82</v>
      </c>
      <c r="J104" s="9" t="s">
        <v>2</v>
      </c>
      <c r="K104" s="7">
        <v>45996</v>
      </c>
      <c r="L104" s="9" t="s">
        <v>3</v>
      </c>
      <c r="M104" s="11" cm="1">
        <f t="array" ref="M104">IF(Invoices[[#This Row],[Status]]="Open",MAX(0,AsOf-Invoices[[#This Row],[Due Date]]),IF(Invoices[[#This Row],[Paid Date]]="","",MAX(0,Invoices[[#This Row],[Paid Date]]-Invoices[[#This Row],[Due Date]])))</f>
        <v>2</v>
      </c>
      <c r="N10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05" spans="1:14" ht="17.100000000000001" customHeight="1" x14ac:dyDescent="0.2">
      <c r="A105" s="6" t="s">
        <v>132</v>
      </c>
      <c r="B105" s="7">
        <v>45979</v>
      </c>
      <c r="C105" s="8" t="s">
        <v>45</v>
      </c>
      <c r="D105" s="8" t="s">
        <v>17</v>
      </c>
      <c r="E105" s="9">
        <v>30</v>
      </c>
      <c r="F105" s="7">
        <v>46009</v>
      </c>
      <c r="G105" s="10">
        <v>1096.94</v>
      </c>
      <c r="H105" s="10">
        <v>164.54</v>
      </c>
      <c r="I105" s="10">
        <v>1261.48</v>
      </c>
      <c r="J105" s="9" t="s">
        <v>2</v>
      </c>
      <c r="K105" s="7">
        <v>46019</v>
      </c>
      <c r="L105" s="9" t="s">
        <v>3</v>
      </c>
      <c r="M105" s="11" cm="1">
        <f t="array" ref="M105">IF(Invoices[[#This Row],[Status]]="Open",MAX(0,AsOf-Invoices[[#This Row],[Due Date]]),IF(Invoices[[#This Row],[Paid Date]]="","",MAX(0,Invoices[[#This Row],[Paid Date]]-Invoices[[#This Row],[Due Date]])))</f>
        <v>10</v>
      </c>
      <c r="N10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06" spans="1:14" ht="17.100000000000001" customHeight="1" x14ac:dyDescent="0.2">
      <c r="A106" s="6" t="s">
        <v>133</v>
      </c>
      <c r="B106" s="7">
        <v>45980</v>
      </c>
      <c r="C106" s="8" t="s">
        <v>34</v>
      </c>
      <c r="D106" s="8" t="s">
        <v>21</v>
      </c>
      <c r="E106" s="9">
        <v>30</v>
      </c>
      <c r="F106" s="7">
        <v>46010</v>
      </c>
      <c r="G106" s="10">
        <v>2195.1799999999998</v>
      </c>
      <c r="H106" s="10">
        <v>329.28</v>
      </c>
      <c r="I106" s="10">
        <v>2524.46</v>
      </c>
      <c r="J106" s="9" t="s">
        <v>2</v>
      </c>
      <c r="K106" s="7">
        <v>46015</v>
      </c>
      <c r="L106" s="9" t="s">
        <v>3</v>
      </c>
      <c r="M106" s="11" cm="1">
        <f t="array" ref="M106">IF(Invoices[[#This Row],[Status]]="Open",MAX(0,AsOf-Invoices[[#This Row],[Due Date]]),IF(Invoices[[#This Row],[Paid Date]]="","",MAX(0,Invoices[[#This Row],[Paid Date]]-Invoices[[#This Row],[Due Date]])))</f>
        <v>5</v>
      </c>
      <c r="N10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07" spans="1:14" ht="17.100000000000001" customHeight="1" x14ac:dyDescent="0.2">
      <c r="A107" s="6" t="s">
        <v>134</v>
      </c>
      <c r="B107" s="7">
        <v>45980</v>
      </c>
      <c r="C107" s="8" t="s">
        <v>20</v>
      </c>
      <c r="D107" s="8" t="s">
        <v>21</v>
      </c>
      <c r="E107" s="9">
        <v>30</v>
      </c>
      <c r="F107" s="7">
        <v>46010</v>
      </c>
      <c r="G107" s="10">
        <v>5460.32</v>
      </c>
      <c r="H107" s="10">
        <v>819.05</v>
      </c>
      <c r="I107" s="10">
        <v>6279.37</v>
      </c>
      <c r="J107" s="9" t="s">
        <v>2</v>
      </c>
      <c r="K107" s="7">
        <v>46019</v>
      </c>
      <c r="L107" s="9" t="s">
        <v>3</v>
      </c>
      <c r="M107" s="11" cm="1">
        <f t="array" ref="M107">IF(Invoices[[#This Row],[Status]]="Open",MAX(0,AsOf-Invoices[[#This Row],[Due Date]]),IF(Invoices[[#This Row],[Paid Date]]="","",MAX(0,Invoices[[#This Row],[Paid Date]]-Invoices[[#This Row],[Due Date]])))</f>
        <v>9</v>
      </c>
      <c r="N10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08" spans="1:14" ht="17.100000000000001" customHeight="1" x14ac:dyDescent="0.2">
      <c r="A108" s="6" t="s">
        <v>135</v>
      </c>
      <c r="B108" s="7">
        <v>45980</v>
      </c>
      <c r="C108" s="8" t="s">
        <v>38</v>
      </c>
      <c r="D108" s="8" t="s">
        <v>39</v>
      </c>
      <c r="E108" s="9">
        <v>15</v>
      </c>
      <c r="F108" s="7">
        <v>45995</v>
      </c>
      <c r="G108" s="10">
        <v>2162.08</v>
      </c>
      <c r="H108" s="10">
        <v>324.31</v>
      </c>
      <c r="I108" s="10">
        <v>2486.39</v>
      </c>
      <c r="J108" s="9" t="s">
        <v>2</v>
      </c>
      <c r="K108" s="7">
        <v>45990</v>
      </c>
      <c r="L108" s="9" t="s">
        <v>3</v>
      </c>
      <c r="M108" s="11" cm="1">
        <f t="array" ref="M108">IF(Invoices[[#This Row],[Status]]="Open",MAX(0,AsOf-Invoices[[#This Row],[Due Date]]),IF(Invoices[[#This Row],[Paid Date]]="","",MAX(0,Invoices[[#This Row],[Paid Date]]-Invoices[[#This Row],[Due Date]])))</f>
        <v>0</v>
      </c>
      <c r="N10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09" spans="1:14" ht="17.100000000000001" customHeight="1" x14ac:dyDescent="0.2">
      <c r="A109" s="6" t="s">
        <v>136</v>
      </c>
      <c r="B109" s="7">
        <v>45980</v>
      </c>
      <c r="C109" s="8" t="s">
        <v>34</v>
      </c>
      <c r="D109" s="8" t="s">
        <v>21</v>
      </c>
      <c r="E109" s="9">
        <v>30</v>
      </c>
      <c r="F109" s="7">
        <v>46010</v>
      </c>
      <c r="G109" s="10">
        <v>8241.41</v>
      </c>
      <c r="H109" s="10">
        <v>1236.21</v>
      </c>
      <c r="I109" s="10">
        <v>9477.6200000000008</v>
      </c>
      <c r="J109" s="9" t="s">
        <v>2</v>
      </c>
      <c r="K109" s="7">
        <v>46017</v>
      </c>
      <c r="L109" s="9" t="s">
        <v>3</v>
      </c>
      <c r="M109" s="11" cm="1">
        <f t="array" ref="M109">IF(Invoices[[#This Row],[Status]]="Open",MAX(0,AsOf-Invoices[[#This Row],[Due Date]]),IF(Invoices[[#This Row],[Paid Date]]="","",MAX(0,Invoices[[#This Row],[Paid Date]]-Invoices[[#This Row],[Due Date]])))</f>
        <v>7</v>
      </c>
      <c r="N10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10" spans="1:14" ht="17.100000000000001" customHeight="1" x14ac:dyDescent="0.2">
      <c r="A110" s="6" t="s">
        <v>137</v>
      </c>
      <c r="B110" s="7">
        <v>45980</v>
      </c>
      <c r="C110" s="8" t="s">
        <v>10</v>
      </c>
      <c r="D110" s="8" t="s">
        <v>11</v>
      </c>
      <c r="E110" s="9">
        <v>30</v>
      </c>
      <c r="F110" s="7">
        <v>46010</v>
      </c>
      <c r="G110" s="10">
        <v>2284.58</v>
      </c>
      <c r="H110" s="10">
        <v>342.69</v>
      </c>
      <c r="I110" s="10">
        <v>2627.27</v>
      </c>
      <c r="J110" s="9" t="s">
        <v>2</v>
      </c>
      <c r="K110" s="7">
        <v>46008</v>
      </c>
      <c r="L110" s="9" t="s">
        <v>3</v>
      </c>
      <c r="M110" s="11" cm="1">
        <f t="array" ref="M110">IF(Invoices[[#This Row],[Status]]="Open",MAX(0,AsOf-Invoices[[#This Row],[Due Date]]),IF(Invoices[[#This Row],[Paid Date]]="","",MAX(0,Invoices[[#This Row],[Paid Date]]-Invoices[[#This Row],[Due Date]])))</f>
        <v>0</v>
      </c>
      <c r="N11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11" spans="1:14" ht="17.100000000000001" customHeight="1" x14ac:dyDescent="0.2">
      <c r="A111" s="6" t="s">
        <v>138</v>
      </c>
      <c r="B111" s="7">
        <v>45981</v>
      </c>
      <c r="C111" s="8" t="s">
        <v>34</v>
      </c>
      <c r="D111" s="8" t="s">
        <v>21</v>
      </c>
      <c r="E111" s="9">
        <v>30</v>
      </c>
      <c r="F111" s="7">
        <v>46011</v>
      </c>
      <c r="G111" s="10">
        <v>4015.39</v>
      </c>
      <c r="H111" s="10">
        <v>602.30999999999995</v>
      </c>
      <c r="I111" s="10">
        <v>4617.7</v>
      </c>
      <c r="J111" s="9" t="s">
        <v>2</v>
      </c>
      <c r="K111" s="7">
        <v>46006</v>
      </c>
      <c r="L111" s="9" t="s">
        <v>3</v>
      </c>
      <c r="M111" s="11" cm="1">
        <f t="array" ref="M111">IF(Invoices[[#This Row],[Status]]="Open",MAX(0,AsOf-Invoices[[#This Row],[Due Date]]),IF(Invoices[[#This Row],[Paid Date]]="","",MAX(0,Invoices[[#This Row],[Paid Date]]-Invoices[[#This Row],[Due Date]])))</f>
        <v>0</v>
      </c>
      <c r="N11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12" spans="1:14" ht="17.100000000000001" customHeight="1" x14ac:dyDescent="0.2">
      <c r="A112" s="6" t="s">
        <v>139</v>
      </c>
      <c r="B112" s="7">
        <v>45981</v>
      </c>
      <c r="C112" s="8" t="s">
        <v>61</v>
      </c>
      <c r="D112" s="8" t="s">
        <v>62</v>
      </c>
      <c r="E112" s="9">
        <v>15</v>
      </c>
      <c r="F112" s="7">
        <v>45996</v>
      </c>
      <c r="G112" s="10">
        <v>2265.4499999999998</v>
      </c>
      <c r="H112" s="10">
        <v>339.82</v>
      </c>
      <c r="I112" s="10">
        <v>2605.27</v>
      </c>
      <c r="J112" s="9" t="s">
        <v>2</v>
      </c>
      <c r="K112" s="7">
        <v>45996</v>
      </c>
      <c r="L112" s="9" t="s">
        <v>3</v>
      </c>
      <c r="M112" s="11" cm="1">
        <f t="array" ref="M112">IF(Invoices[[#This Row],[Status]]="Open",MAX(0,AsOf-Invoices[[#This Row],[Due Date]]),IF(Invoices[[#This Row],[Paid Date]]="","",MAX(0,Invoices[[#This Row],[Paid Date]]-Invoices[[#This Row],[Due Date]])))</f>
        <v>0</v>
      </c>
      <c r="N11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13" spans="1:14" ht="17.100000000000001" customHeight="1" x14ac:dyDescent="0.2">
      <c r="A113" s="6" t="s">
        <v>140</v>
      </c>
      <c r="B113" s="7">
        <v>45984</v>
      </c>
      <c r="C113" s="8" t="s">
        <v>5</v>
      </c>
      <c r="D113" s="8" t="s">
        <v>6</v>
      </c>
      <c r="E113" s="9">
        <v>45</v>
      </c>
      <c r="F113" s="7">
        <v>46029</v>
      </c>
      <c r="G113" s="10">
        <v>7174.09</v>
      </c>
      <c r="H113" s="10">
        <v>1076.1099999999999</v>
      </c>
      <c r="I113" s="10">
        <v>8250.2000000000007</v>
      </c>
      <c r="J113" s="9" t="s">
        <v>2</v>
      </c>
      <c r="K113" s="7">
        <v>46030</v>
      </c>
      <c r="L113" s="9" t="s">
        <v>3</v>
      </c>
      <c r="M113" s="11" cm="1">
        <f t="array" ref="M113">IF(Invoices[[#This Row],[Status]]="Open",MAX(0,AsOf-Invoices[[#This Row],[Due Date]]),IF(Invoices[[#This Row],[Paid Date]]="","",MAX(0,Invoices[[#This Row],[Paid Date]]-Invoices[[#This Row],[Due Date]])))</f>
        <v>1</v>
      </c>
      <c r="N11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14" spans="1:14" ht="17.100000000000001" customHeight="1" x14ac:dyDescent="0.2">
      <c r="A114" s="6" t="s">
        <v>141</v>
      </c>
      <c r="B114" s="7">
        <v>45984</v>
      </c>
      <c r="C114" s="8" t="s">
        <v>24</v>
      </c>
      <c r="D114" s="8" t="s">
        <v>25</v>
      </c>
      <c r="E114" s="9">
        <v>60</v>
      </c>
      <c r="F114" s="7">
        <v>46044</v>
      </c>
      <c r="G114" s="10">
        <v>4772.8900000000003</v>
      </c>
      <c r="H114" s="10">
        <v>715.93</v>
      </c>
      <c r="I114" s="10">
        <v>5488.82</v>
      </c>
      <c r="J114" s="9" t="s">
        <v>2</v>
      </c>
      <c r="K114" s="7">
        <v>46133</v>
      </c>
      <c r="L114" s="9" t="s">
        <v>3</v>
      </c>
      <c r="M114" s="11" cm="1">
        <f t="array" ref="M114">IF(Invoices[[#This Row],[Status]]="Open",MAX(0,AsOf-Invoices[[#This Row],[Due Date]]),IF(Invoices[[#This Row],[Paid Date]]="","",MAX(0,Invoices[[#This Row],[Paid Date]]-Invoices[[#This Row],[Due Date]])))</f>
        <v>89</v>
      </c>
      <c r="N11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15" spans="1:14" ht="17.100000000000001" customHeight="1" x14ac:dyDescent="0.2">
      <c r="A115" s="6" t="s">
        <v>142</v>
      </c>
      <c r="B115" s="7">
        <v>45984</v>
      </c>
      <c r="C115" s="8" t="s">
        <v>31</v>
      </c>
      <c r="D115" s="8" t="s">
        <v>6</v>
      </c>
      <c r="E115" s="9">
        <v>60</v>
      </c>
      <c r="F115" s="7">
        <v>46044</v>
      </c>
      <c r="G115" s="10">
        <v>36108.370000000003</v>
      </c>
      <c r="H115" s="10">
        <v>5416.26</v>
      </c>
      <c r="I115" s="10">
        <v>41524.629999999997</v>
      </c>
      <c r="J115" s="9" t="s">
        <v>2</v>
      </c>
      <c r="K115" s="7">
        <v>46039</v>
      </c>
      <c r="L115" s="9" t="s">
        <v>3</v>
      </c>
      <c r="M115" s="11" cm="1">
        <f t="array" ref="M115">IF(Invoices[[#This Row],[Status]]="Open",MAX(0,AsOf-Invoices[[#This Row],[Due Date]]),IF(Invoices[[#This Row],[Paid Date]]="","",MAX(0,Invoices[[#This Row],[Paid Date]]-Invoices[[#This Row],[Due Date]])))</f>
        <v>0</v>
      </c>
      <c r="N11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16" spans="1:14" ht="17.100000000000001" customHeight="1" x14ac:dyDescent="0.2">
      <c r="A116" s="6" t="s">
        <v>143</v>
      </c>
      <c r="B116" s="7">
        <v>45984</v>
      </c>
      <c r="C116" s="8" t="s">
        <v>31</v>
      </c>
      <c r="D116" s="8" t="s">
        <v>6</v>
      </c>
      <c r="E116" s="9">
        <v>60</v>
      </c>
      <c r="F116" s="7">
        <v>46044</v>
      </c>
      <c r="G116" s="10">
        <v>30213.4</v>
      </c>
      <c r="H116" s="10">
        <v>4532.01</v>
      </c>
      <c r="I116" s="10">
        <v>34745.410000000003</v>
      </c>
      <c r="J116" s="9" t="s">
        <v>2</v>
      </c>
      <c r="K116" s="7">
        <v>46051</v>
      </c>
      <c r="L116" s="9" t="s">
        <v>3</v>
      </c>
      <c r="M116" s="11" cm="1">
        <f t="array" ref="M116">IF(Invoices[[#This Row],[Status]]="Open",MAX(0,AsOf-Invoices[[#This Row],[Due Date]]),IF(Invoices[[#This Row],[Paid Date]]="","",MAX(0,Invoices[[#This Row],[Paid Date]]-Invoices[[#This Row],[Due Date]])))</f>
        <v>7</v>
      </c>
      <c r="N11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17" spans="1:14" ht="17.100000000000001" customHeight="1" x14ac:dyDescent="0.2">
      <c r="A117" s="6" t="s">
        <v>144</v>
      </c>
      <c r="B117" s="7">
        <v>45984</v>
      </c>
      <c r="C117" s="8" t="s">
        <v>20</v>
      </c>
      <c r="D117" s="8" t="s">
        <v>21</v>
      </c>
      <c r="E117" s="9">
        <v>30</v>
      </c>
      <c r="F117" s="7">
        <v>46014</v>
      </c>
      <c r="G117" s="10">
        <v>6145.39</v>
      </c>
      <c r="H117" s="10">
        <v>921.81</v>
      </c>
      <c r="I117" s="10">
        <v>7067.2</v>
      </c>
      <c r="J117" s="9" t="s">
        <v>2</v>
      </c>
      <c r="K117" s="7">
        <v>46017</v>
      </c>
      <c r="L117" s="9" t="s">
        <v>3</v>
      </c>
      <c r="M117" s="11" cm="1">
        <f t="array" ref="M117">IF(Invoices[[#This Row],[Status]]="Open",MAX(0,AsOf-Invoices[[#This Row],[Due Date]]),IF(Invoices[[#This Row],[Paid Date]]="","",MAX(0,Invoices[[#This Row],[Paid Date]]-Invoices[[#This Row],[Due Date]])))</f>
        <v>3</v>
      </c>
      <c r="N11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18" spans="1:14" ht="17.100000000000001" customHeight="1" x14ac:dyDescent="0.2">
      <c r="A118" s="6" t="s">
        <v>145</v>
      </c>
      <c r="B118" s="7">
        <v>45984</v>
      </c>
      <c r="C118" s="8" t="s">
        <v>31</v>
      </c>
      <c r="D118" s="8" t="s">
        <v>6</v>
      </c>
      <c r="E118" s="9">
        <v>60</v>
      </c>
      <c r="F118" s="7">
        <v>46044</v>
      </c>
      <c r="G118" s="10">
        <v>8380.81</v>
      </c>
      <c r="H118" s="10">
        <v>1257.1199999999999</v>
      </c>
      <c r="I118" s="10">
        <v>9637.93</v>
      </c>
      <c r="J118" s="9" t="s">
        <v>2</v>
      </c>
      <c r="K118" s="7">
        <v>46046</v>
      </c>
      <c r="L118" s="9" t="s">
        <v>3</v>
      </c>
      <c r="M118" s="11" cm="1">
        <f t="array" ref="M118">IF(Invoices[[#This Row],[Status]]="Open",MAX(0,AsOf-Invoices[[#This Row],[Due Date]]),IF(Invoices[[#This Row],[Paid Date]]="","",MAX(0,Invoices[[#This Row],[Paid Date]]-Invoices[[#This Row],[Due Date]])))</f>
        <v>2</v>
      </c>
      <c r="N11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19" spans="1:14" ht="17.100000000000001" customHeight="1" x14ac:dyDescent="0.2">
      <c r="A119" s="6" t="s">
        <v>146</v>
      </c>
      <c r="B119" s="7">
        <v>45986</v>
      </c>
      <c r="C119" s="8" t="s">
        <v>34</v>
      </c>
      <c r="D119" s="8" t="s">
        <v>21</v>
      </c>
      <c r="E119" s="9">
        <v>30</v>
      </c>
      <c r="F119" s="7">
        <v>46016</v>
      </c>
      <c r="G119" s="10">
        <v>3040.39</v>
      </c>
      <c r="H119" s="10">
        <v>456.06</v>
      </c>
      <c r="I119" s="10">
        <v>3496.45</v>
      </c>
      <c r="J119" s="9" t="s">
        <v>2</v>
      </c>
      <c r="K119" s="7">
        <v>46013</v>
      </c>
      <c r="L119" s="9" t="s">
        <v>3</v>
      </c>
      <c r="M119" s="11" cm="1">
        <f t="array" ref="M119">IF(Invoices[[#This Row],[Status]]="Open",MAX(0,AsOf-Invoices[[#This Row],[Due Date]]),IF(Invoices[[#This Row],[Paid Date]]="","",MAX(0,Invoices[[#This Row],[Paid Date]]-Invoices[[#This Row],[Due Date]])))</f>
        <v>0</v>
      </c>
      <c r="N11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20" spans="1:14" ht="17.100000000000001" customHeight="1" x14ac:dyDescent="0.2">
      <c r="A120" s="6" t="s">
        <v>147</v>
      </c>
      <c r="B120" s="7">
        <v>45986</v>
      </c>
      <c r="C120" s="8" t="s">
        <v>24</v>
      </c>
      <c r="D120" s="8" t="s">
        <v>25</v>
      </c>
      <c r="E120" s="9">
        <v>60</v>
      </c>
      <c r="F120" s="7">
        <v>46046</v>
      </c>
      <c r="G120" s="10">
        <v>8440.75</v>
      </c>
      <c r="H120" s="10">
        <v>1266.1099999999999</v>
      </c>
      <c r="I120" s="10">
        <v>9706.86</v>
      </c>
      <c r="J120" s="9" t="s">
        <v>2</v>
      </c>
      <c r="K120" s="7">
        <v>46051</v>
      </c>
      <c r="L120" s="9" t="s">
        <v>3</v>
      </c>
      <c r="M120" s="11" cm="1">
        <f t="array" ref="M120">IF(Invoices[[#This Row],[Status]]="Open",MAX(0,AsOf-Invoices[[#This Row],[Due Date]]),IF(Invoices[[#This Row],[Paid Date]]="","",MAX(0,Invoices[[#This Row],[Paid Date]]-Invoices[[#This Row],[Due Date]])))</f>
        <v>5</v>
      </c>
      <c r="N12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21" spans="1:14" ht="17.100000000000001" customHeight="1" x14ac:dyDescent="0.2">
      <c r="A121" s="6" t="s">
        <v>148</v>
      </c>
      <c r="B121" s="7">
        <v>45986</v>
      </c>
      <c r="C121" s="8" t="s">
        <v>24</v>
      </c>
      <c r="D121" s="8" t="s">
        <v>25</v>
      </c>
      <c r="E121" s="9">
        <v>60</v>
      </c>
      <c r="F121" s="7">
        <v>46046</v>
      </c>
      <c r="G121" s="10">
        <v>5331.2</v>
      </c>
      <c r="H121" s="10">
        <v>799.68</v>
      </c>
      <c r="I121" s="10">
        <v>6130.88</v>
      </c>
      <c r="J121" s="9" t="s">
        <v>2</v>
      </c>
      <c r="K121" s="7">
        <v>46053</v>
      </c>
      <c r="L121" s="9" t="s">
        <v>3</v>
      </c>
      <c r="M121" s="11" cm="1">
        <f t="array" ref="M121">IF(Invoices[[#This Row],[Status]]="Open",MAX(0,AsOf-Invoices[[#This Row],[Due Date]]),IF(Invoices[[#This Row],[Paid Date]]="","",MAX(0,Invoices[[#This Row],[Paid Date]]-Invoices[[#This Row],[Due Date]])))</f>
        <v>7</v>
      </c>
      <c r="N12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22" spans="1:14" ht="17.100000000000001" customHeight="1" x14ac:dyDescent="0.2">
      <c r="A122" s="6" t="s">
        <v>149</v>
      </c>
      <c r="B122" s="7">
        <v>45986</v>
      </c>
      <c r="C122" s="8" t="s">
        <v>36</v>
      </c>
      <c r="D122" s="8" t="s">
        <v>17</v>
      </c>
      <c r="E122" s="9">
        <v>30</v>
      </c>
      <c r="F122" s="7">
        <v>46016</v>
      </c>
      <c r="G122" s="10">
        <v>2215.5100000000002</v>
      </c>
      <c r="H122" s="10">
        <v>332.33</v>
      </c>
      <c r="I122" s="10">
        <v>2547.84</v>
      </c>
      <c r="J122" s="9" t="s">
        <v>2</v>
      </c>
      <c r="K122" s="7">
        <v>46064</v>
      </c>
      <c r="L122" s="9" t="s">
        <v>3</v>
      </c>
      <c r="M122" s="11" cm="1">
        <f t="array" ref="M122">IF(Invoices[[#This Row],[Status]]="Open",MAX(0,AsOf-Invoices[[#This Row],[Due Date]]),IF(Invoices[[#This Row],[Paid Date]]="","",MAX(0,Invoices[[#This Row],[Paid Date]]-Invoices[[#This Row],[Due Date]])))</f>
        <v>48</v>
      </c>
      <c r="N12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23" spans="1:14" ht="17.100000000000001" customHeight="1" x14ac:dyDescent="0.2">
      <c r="A123" s="6" t="s">
        <v>150</v>
      </c>
      <c r="B123" s="7">
        <v>45987</v>
      </c>
      <c r="C123" s="8" t="s">
        <v>38</v>
      </c>
      <c r="D123" s="8" t="s">
        <v>39</v>
      </c>
      <c r="E123" s="9">
        <v>15</v>
      </c>
      <c r="F123" s="7">
        <v>46002</v>
      </c>
      <c r="G123" s="10">
        <v>2352.1799999999998</v>
      </c>
      <c r="H123" s="10">
        <v>352.83</v>
      </c>
      <c r="I123" s="10">
        <v>2705.01</v>
      </c>
      <c r="J123" s="9" t="s">
        <v>2</v>
      </c>
      <c r="K123" s="7">
        <v>46002</v>
      </c>
      <c r="L123" s="9" t="s">
        <v>3</v>
      </c>
      <c r="M123" s="11" cm="1">
        <f t="array" ref="M123">IF(Invoices[[#This Row],[Status]]="Open",MAX(0,AsOf-Invoices[[#This Row],[Due Date]]),IF(Invoices[[#This Row],[Paid Date]]="","",MAX(0,Invoices[[#This Row],[Paid Date]]-Invoices[[#This Row],[Due Date]])))</f>
        <v>0</v>
      </c>
      <c r="N12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24" spans="1:14" ht="17.100000000000001" customHeight="1" x14ac:dyDescent="0.2">
      <c r="A124" s="6" t="s">
        <v>151</v>
      </c>
      <c r="B124" s="7">
        <v>45987</v>
      </c>
      <c r="C124" s="8" t="s">
        <v>20</v>
      </c>
      <c r="D124" s="8" t="s">
        <v>21</v>
      </c>
      <c r="E124" s="9">
        <v>30</v>
      </c>
      <c r="F124" s="7">
        <v>46017</v>
      </c>
      <c r="G124" s="10">
        <v>3583.15</v>
      </c>
      <c r="H124" s="10">
        <v>537.47</v>
      </c>
      <c r="I124" s="10">
        <v>4120.62</v>
      </c>
      <c r="J124" s="9" t="s">
        <v>2</v>
      </c>
      <c r="K124" s="7">
        <v>46020</v>
      </c>
      <c r="L124" s="9" t="s">
        <v>3</v>
      </c>
      <c r="M124" s="11" cm="1">
        <f t="array" ref="M124">IF(Invoices[[#This Row],[Status]]="Open",MAX(0,AsOf-Invoices[[#This Row],[Due Date]]),IF(Invoices[[#This Row],[Paid Date]]="","",MAX(0,Invoices[[#This Row],[Paid Date]]-Invoices[[#This Row],[Due Date]])))</f>
        <v>3</v>
      </c>
      <c r="N12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25" spans="1:14" ht="17.100000000000001" customHeight="1" x14ac:dyDescent="0.2">
      <c r="A125" s="6" t="s">
        <v>152</v>
      </c>
      <c r="B125" s="7">
        <v>45987</v>
      </c>
      <c r="C125" s="8" t="s">
        <v>66</v>
      </c>
      <c r="D125" s="8" t="s">
        <v>62</v>
      </c>
      <c r="E125" s="9">
        <v>15</v>
      </c>
      <c r="F125" s="7">
        <v>46002</v>
      </c>
      <c r="G125" s="10">
        <v>825.2</v>
      </c>
      <c r="H125" s="10">
        <v>123.78</v>
      </c>
      <c r="I125" s="10">
        <v>948.98</v>
      </c>
      <c r="J125" s="9" t="s">
        <v>2</v>
      </c>
      <c r="K125" s="7">
        <v>45999</v>
      </c>
      <c r="L125" s="9" t="s">
        <v>3</v>
      </c>
      <c r="M125" s="11" cm="1">
        <f t="array" ref="M125">IF(Invoices[[#This Row],[Status]]="Open",MAX(0,AsOf-Invoices[[#This Row],[Due Date]]),IF(Invoices[[#This Row],[Paid Date]]="","",MAX(0,Invoices[[#This Row],[Paid Date]]-Invoices[[#This Row],[Due Date]])))</f>
        <v>0</v>
      </c>
      <c r="N12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26" spans="1:14" ht="17.100000000000001" customHeight="1" x14ac:dyDescent="0.2">
      <c r="A126" s="6" t="s">
        <v>153</v>
      </c>
      <c r="B126" s="7">
        <v>45987</v>
      </c>
      <c r="C126" s="8" t="s">
        <v>8</v>
      </c>
      <c r="D126" s="8" t="s">
        <v>6</v>
      </c>
      <c r="E126" s="9">
        <v>45</v>
      </c>
      <c r="F126" s="7">
        <v>46032</v>
      </c>
      <c r="G126" s="10">
        <v>7879.46</v>
      </c>
      <c r="H126" s="10">
        <v>1181.92</v>
      </c>
      <c r="I126" s="10">
        <v>9061.3799999999992</v>
      </c>
      <c r="J126" s="9" t="s">
        <v>2</v>
      </c>
      <c r="K126" s="7">
        <v>46042</v>
      </c>
      <c r="L126" s="9" t="s">
        <v>3</v>
      </c>
      <c r="M126" s="11" cm="1">
        <f t="array" ref="M126">IF(Invoices[[#This Row],[Status]]="Open",MAX(0,AsOf-Invoices[[#This Row],[Due Date]]),IF(Invoices[[#This Row],[Paid Date]]="","",MAX(0,Invoices[[#This Row],[Paid Date]]-Invoices[[#This Row],[Due Date]])))</f>
        <v>10</v>
      </c>
      <c r="N12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27" spans="1:14" ht="17.100000000000001" customHeight="1" x14ac:dyDescent="0.2">
      <c r="A127" s="6" t="s">
        <v>154</v>
      </c>
      <c r="B127" s="7">
        <v>45987</v>
      </c>
      <c r="C127" s="8" t="s">
        <v>31</v>
      </c>
      <c r="D127" s="8" t="s">
        <v>6</v>
      </c>
      <c r="E127" s="9">
        <v>60</v>
      </c>
      <c r="F127" s="7">
        <v>46047</v>
      </c>
      <c r="G127" s="10">
        <v>5033.9399999999996</v>
      </c>
      <c r="H127" s="10">
        <v>755.09</v>
      </c>
      <c r="I127" s="10">
        <v>5789.03</v>
      </c>
      <c r="J127" s="9" t="s">
        <v>2</v>
      </c>
      <c r="K127" s="7">
        <v>46051</v>
      </c>
      <c r="L127" s="9" t="s">
        <v>3</v>
      </c>
      <c r="M127" s="11" cm="1">
        <f t="array" ref="M127">IF(Invoices[[#This Row],[Status]]="Open",MAX(0,AsOf-Invoices[[#This Row],[Due Date]]),IF(Invoices[[#This Row],[Paid Date]]="","",MAX(0,Invoices[[#This Row],[Paid Date]]-Invoices[[#This Row],[Due Date]])))</f>
        <v>4</v>
      </c>
      <c r="N12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28" spans="1:14" ht="17.100000000000001" customHeight="1" x14ac:dyDescent="0.2">
      <c r="A128" s="6" t="s">
        <v>155</v>
      </c>
      <c r="B128" s="7">
        <v>45988</v>
      </c>
      <c r="C128" s="8" t="s">
        <v>89</v>
      </c>
      <c r="D128" s="8" t="s">
        <v>39</v>
      </c>
      <c r="E128" s="9">
        <v>15</v>
      </c>
      <c r="F128" s="7">
        <v>46003</v>
      </c>
      <c r="G128" s="10">
        <v>1319.24</v>
      </c>
      <c r="H128" s="10"/>
      <c r="I128" s="10">
        <v>1319.24</v>
      </c>
      <c r="J128" s="9" t="s">
        <v>2</v>
      </c>
      <c r="K128" s="7">
        <v>45999</v>
      </c>
      <c r="L128" s="9" t="s">
        <v>3</v>
      </c>
      <c r="M128" s="11" cm="1">
        <f t="array" ref="M128">IF(Invoices[[#This Row],[Status]]="Open",MAX(0,AsOf-Invoices[[#This Row],[Due Date]]),IF(Invoices[[#This Row],[Paid Date]]="","",MAX(0,Invoices[[#This Row],[Paid Date]]-Invoices[[#This Row],[Due Date]])))</f>
        <v>0</v>
      </c>
      <c r="N12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Missing VAT</v>
      </c>
    </row>
    <row r="129" spans="1:14" ht="17.100000000000001" customHeight="1" x14ac:dyDescent="0.2">
      <c r="A129" s="6" t="s">
        <v>156</v>
      </c>
      <c r="B129" s="7">
        <v>45988</v>
      </c>
      <c r="C129" s="8" t="s">
        <v>69</v>
      </c>
      <c r="D129" s="8" t="s">
        <v>6</v>
      </c>
      <c r="E129" s="9">
        <v>45</v>
      </c>
      <c r="F129" s="7">
        <v>46033</v>
      </c>
      <c r="G129" s="10">
        <v>14912.17</v>
      </c>
      <c r="H129" s="10">
        <v>2236.83</v>
      </c>
      <c r="I129" s="10">
        <v>17149</v>
      </c>
      <c r="J129" s="9" t="s">
        <v>2</v>
      </c>
      <c r="K129" s="7">
        <v>46033</v>
      </c>
      <c r="L129" s="9" t="s">
        <v>3</v>
      </c>
      <c r="M129" s="11" cm="1">
        <f t="array" ref="M129">IF(Invoices[[#This Row],[Status]]="Open",MAX(0,AsOf-Invoices[[#This Row],[Due Date]]),IF(Invoices[[#This Row],[Paid Date]]="","",MAX(0,Invoices[[#This Row],[Paid Date]]-Invoices[[#This Row],[Due Date]])))</f>
        <v>0</v>
      </c>
      <c r="N12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30" spans="1:14" ht="17.100000000000001" customHeight="1" x14ac:dyDescent="0.2">
      <c r="A130" s="6" t="s">
        <v>157</v>
      </c>
      <c r="B130" s="7">
        <v>45991</v>
      </c>
      <c r="C130" s="8" t="s">
        <v>75</v>
      </c>
      <c r="D130" s="8" t="s">
        <v>21</v>
      </c>
      <c r="E130" s="9">
        <v>30</v>
      </c>
      <c r="F130" s="7">
        <v>46021</v>
      </c>
      <c r="G130" s="10">
        <v>3309.35</v>
      </c>
      <c r="H130" s="10">
        <v>496.4</v>
      </c>
      <c r="I130" s="10">
        <v>3805.75</v>
      </c>
      <c r="J130" s="9" t="s">
        <v>2</v>
      </c>
      <c r="K130" s="7">
        <v>46022</v>
      </c>
      <c r="L130" s="9" t="s">
        <v>3</v>
      </c>
      <c r="M130" s="11" cm="1">
        <f t="array" ref="M130">IF(Invoices[[#This Row],[Status]]="Open",MAX(0,AsOf-Invoices[[#This Row],[Due Date]]),IF(Invoices[[#This Row],[Paid Date]]="","",MAX(0,Invoices[[#This Row],[Paid Date]]-Invoices[[#This Row],[Due Date]])))</f>
        <v>1</v>
      </c>
      <c r="N13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31" spans="1:14" ht="17.100000000000001" customHeight="1" x14ac:dyDescent="0.2">
      <c r="A131" s="6" t="s">
        <v>158</v>
      </c>
      <c r="B131" s="7">
        <v>45991</v>
      </c>
      <c r="C131" s="8" t="s">
        <v>45</v>
      </c>
      <c r="D131" s="8" t="s">
        <v>17</v>
      </c>
      <c r="E131" s="9">
        <v>30</v>
      </c>
      <c r="F131" s="7">
        <v>46021</v>
      </c>
      <c r="G131" s="10">
        <v>2391.9699999999998</v>
      </c>
      <c r="H131" s="10">
        <v>358.8</v>
      </c>
      <c r="I131" s="10">
        <v>2750.77</v>
      </c>
      <c r="J131" s="9" t="s">
        <v>2</v>
      </c>
      <c r="K131" s="7">
        <v>46021</v>
      </c>
      <c r="L131" s="9" t="s">
        <v>3</v>
      </c>
      <c r="M131" s="11" cm="1">
        <f t="array" ref="M131">IF(Invoices[[#This Row],[Status]]="Open",MAX(0,AsOf-Invoices[[#This Row],[Due Date]]),IF(Invoices[[#This Row],[Paid Date]]="","",MAX(0,Invoices[[#This Row],[Paid Date]]-Invoices[[#This Row],[Due Date]])))</f>
        <v>0</v>
      </c>
      <c r="N13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32" spans="1:14" ht="17.100000000000001" customHeight="1" x14ac:dyDescent="0.2">
      <c r="A132" s="6" t="s">
        <v>159</v>
      </c>
      <c r="B132" s="7">
        <v>45991</v>
      </c>
      <c r="C132" s="8" t="s">
        <v>38</v>
      </c>
      <c r="D132" s="8" t="s">
        <v>39</v>
      </c>
      <c r="E132" s="9">
        <v>15</v>
      </c>
      <c r="F132" s="7">
        <v>46006</v>
      </c>
      <c r="G132" s="10">
        <v>911.22</v>
      </c>
      <c r="H132" s="10">
        <v>136.68</v>
      </c>
      <c r="I132" s="10">
        <v>1047.9000000000001</v>
      </c>
      <c r="J132" s="9" t="s">
        <v>2</v>
      </c>
      <c r="K132" s="7">
        <v>46006</v>
      </c>
      <c r="L132" s="9" t="s">
        <v>3</v>
      </c>
      <c r="M132" s="11" cm="1">
        <f t="array" ref="M132">IF(Invoices[[#This Row],[Status]]="Open",MAX(0,AsOf-Invoices[[#This Row],[Due Date]]),IF(Invoices[[#This Row],[Paid Date]]="","",MAX(0,Invoices[[#This Row],[Paid Date]]-Invoices[[#This Row],[Due Date]])))</f>
        <v>0</v>
      </c>
      <c r="N13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33" spans="1:14" ht="17.100000000000001" customHeight="1" x14ac:dyDescent="0.2">
      <c r="A133" s="6" t="s">
        <v>160</v>
      </c>
      <c r="B133" s="7">
        <v>45991</v>
      </c>
      <c r="C133" s="8" t="s">
        <v>13</v>
      </c>
      <c r="D133" s="8" t="s">
        <v>1</v>
      </c>
      <c r="E133" s="9">
        <v>30</v>
      </c>
      <c r="F133" s="7">
        <v>46021</v>
      </c>
      <c r="G133" s="10">
        <v>2936.83</v>
      </c>
      <c r="H133" s="10">
        <v>440.52</v>
      </c>
      <c r="I133" s="10">
        <v>3377.35</v>
      </c>
      <c r="J133" s="9" t="s">
        <v>2</v>
      </c>
      <c r="K133" s="7">
        <v>46016</v>
      </c>
      <c r="L133" s="9" t="s">
        <v>3</v>
      </c>
      <c r="M133" s="11" cm="1">
        <f t="array" ref="M133">IF(Invoices[[#This Row],[Status]]="Open",MAX(0,AsOf-Invoices[[#This Row],[Due Date]]),IF(Invoices[[#This Row],[Paid Date]]="","",MAX(0,Invoices[[#This Row],[Paid Date]]-Invoices[[#This Row],[Due Date]])))</f>
        <v>0</v>
      </c>
      <c r="N13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34" spans="1:14" ht="17.100000000000001" customHeight="1" x14ac:dyDescent="0.2">
      <c r="A134" s="6" t="s">
        <v>161</v>
      </c>
      <c r="B134" s="7">
        <v>45991</v>
      </c>
      <c r="C134" s="8" t="s">
        <v>38</v>
      </c>
      <c r="D134" s="8" t="s">
        <v>39</v>
      </c>
      <c r="E134" s="9">
        <v>15</v>
      </c>
      <c r="F134" s="7">
        <v>46006</v>
      </c>
      <c r="G134" s="10">
        <v>1916.79</v>
      </c>
      <c r="H134" s="10">
        <v>287.52</v>
      </c>
      <c r="I134" s="10">
        <v>2204.31</v>
      </c>
      <c r="J134" s="9" t="s">
        <v>2</v>
      </c>
      <c r="K134" s="7">
        <v>46004</v>
      </c>
      <c r="L134" s="9" t="s">
        <v>3</v>
      </c>
      <c r="M134" s="11" cm="1">
        <f t="array" ref="M134">IF(Invoices[[#This Row],[Status]]="Open",MAX(0,AsOf-Invoices[[#This Row],[Due Date]]),IF(Invoices[[#This Row],[Paid Date]]="","",MAX(0,Invoices[[#This Row],[Paid Date]]-Invoices[[#This Row],[Due Date]])))</f>
        <v>0</v>
      </c>
      <c r="N13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35" spans="1:14" ht="17.100000000000001" customHeight="1" x14ac:dyDescent="0.2">
      <c r="A135" s="6" t="s">
        <v>162</v>
      </c>
      <c r="B135" s="7">
        <v>45992</v>
      </c>
      <c r="C135" s="8" t="s">
        <v>16</v>
      </c>
      <c r="D135" s="8" t="s">
        <v>17</v>
      </c>
      <c r="E135" s="9">
        <v>30</v>
      </c>
      <c r="F135" s="7">
        <v>46022</v>
      </c>
      <c r="G135" s="10">
        <v>2968.22</v>
      </c>
      <c r="H135" s="10">
        <v>445.23</v>
      </c>
      <c r="I135" s="10">
        <v>3413.45</v>
      </c>
      <c r="J135" s="9" t="s">
        <v>2</v>
      </c>
      <c r="K135" s="7">
        <v>46030</v>
      </c>
      <c r="L135" s="9" t="s">
        <v>3</v>
      </c>
      <c r="M135" s="11" cm="1">
        <f t="array" ref="M135">IF(Invoices[[#This Row],[Status]]="Open",MAX(0,AsOf-Invoices[[#This Row],[Due Date]]),IF(Invoices[[#This Row],[Paid Date]]="","",MAX(0,Invoices[[#This Row],[Paid Date]]-Invoices[[#This Row],[Due Date]])))</f>
        <v>8</v>
      </c>
      <c r="N13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36" spans="1:14" ht="17.100000000000001" customHeight="1" x14ac:dyDescent="0.2">
      <c r="A136" s="6" t="s">
        <v>163</v>
      </c>
      <c r="B136" s="7">
        <v>45992</v>
      </c>
      <c r="C136" s="8" t="s">
        <v>34</v>
      </c>
      <c r="D136" s="8" t="s">
        <v>21</v>
      </c>
      <c r="E136" s="9">
        <v>30</v>
      </c>
      <c r="F136" s="7">
        <v>46022</v>
      </c>
      <c r="G136" s="10">
        <v>1683.88</v>
      </c>
      <c r="H136" s="10">
        <v>252.58</v>
      </c>
      <c r="I136" s="10">
        <v>1936.46</v>
      </c>
      <c r="J136" s="9" t="s">
        <v>2</v>
      </c>
      <c r="K136" s="7">
        <v>46022</v>
      </c>
      <c r="L136" s="9" t="s">
        <v>3</v>
      </c>
      <c r="M136" s="11" cm="1">
        <f t="array" ref="M136">IF(Invoices[[#This Row],[Status]]="Open",MAX(0,AsOf-Invoices[[#This Row],[Due Date]]),IF(Invoices[[#This Row],[Paid Date]]="","",MAX(0,Invoices[[#This Row],[Paid Date]]-Invoices[[#This Row],[Due Date]])))</f>
        <v>0</v>
      </c>
      <c r="N13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37" spans="1:14" ht="17.100000000000001" customHeight="1" x14ac:dyDescent="0.2">
      <c r="A137" s="6" t="s">
        <v>164</v>
      </c>
      <c r="B137" s="7">
        <v>45992</v>
      </c>
      <c r="C137" s="8" t="s">
        <v>31</v>
      </c>
      <c r="D137" s="8" t="s">
        <v>6</v>
      </c>
      <c r="E137" s="9">
        <v>60</v>
      </c>
      <c r="F137" s="7">
        <v>46052</v>
      </c>
      <c r="G137" s="10">
        <v>17116.830000000002</v>
      </c>
      <c r="H137" s="10">
        <v>2567.52</v>
      </c>
      <c r="I137" s="10">
        <v>19684.349999999999</v>
      </c>
      <c r="J137" s="9" t="s">
        <v>2</v>
      </c>
      <c r="K137" s="7">
        <v>46051</v>
      </c>
      <c r="L137" s="9" t="s">
        <v>3</v>
      </c>
      <c r="M137" s="11" cm="1">
        <f t="array" ref="M137">IF(Invoices[[#This Row],[Status]]="Open",MAX(0,AsOf-Invoices[[#This Row],[Due Date]]),IF(Invoices[[#This Row],[Paid Date]]="","",MAX(0,Invoices[[#This Row],[Paid Date]]-Invoices[[#This Row],[Due Date]])))</f>
        <v>0</v>
      </c>
      <c r="N13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38" spans="1:14" ht="17.100000000000001" customHeight="1" x14ac:dyDescent="0.2">
      <c r="A138" s="6" t="s">
        <v>165</v>
      </c>
      <c r="B138" s="7">
        <v>45992</v>
      </c>
      <c r="C138" s="8" t="s">
        <v>5</v>
      </c>
      <c r="D138" s="8" t="s">
        <v>6</v>
      </c>
      <c r="E138" s="9">
        <v>45</v>
      </c>
      <c r="F138" s="7">
        <v>46037</v>
      </c>
      <c r="G138" s="10">
        <v>8316.9500000000007</v>
      </c>
      <c r="H138" s="10">
        <v>1247.54</v>
      </c>
      <c r="I138" s="10">
        <v>9564.49</v>
      </c>
      <c r="J138" s="9" t="s">
        <v>2</v>
      </c>
      <c r="K138" s="7">
        <v>46038</v>
      </c>
      <c r="L138" s="9" t="s">
        <v>3</v>
      </c>
      <c r="M138" s="11" cm="1">
        <f t="array" ref="M138">IF(Invoices[[#This Row],[Status]]="Open",MAX(0,AsOf-Invoices[[#This Row],[Due Date]]),IF(Invoices[[#This Row],[Paid Date]]="","",MAX(0,Invoices[[#This Row],[Paid Date]]-Invoices[[#This Row],[Due Date]])))</f>
        <v>1</v>
      </c>
      <c r="N13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39" spans="1:14" ht="17.100000000000001" customHeight="1" x14ac:dyDescent="0.2">
      <c r="A139" s="6" t="s">
        <v>166</v>
      </c>
      <c r="B139" s="7">
        <v>45993</v>
      </c>
      <c r="C139" s="8" t="s">
        <v>75</v>
      </c>
      <c r="D139" s="8" t="s">
        <v>21</v>
      </c>
      <c r="E139" s="9">
        <v>30</v>
      </c>
      <c r="F139" s="7">
        <v>46023</v>
      </c>
      <c r="G139" s="10">
        <v>3308.13</v>
      </c>
      <c r="H139" s="10">
        <v>496.22</v>
      </c>
      <c r="I139" s="10">
        <v>3804.35</v>
      </c>
      <c r="J139" s="9" t="s">
        <v>2</v>
      </c>
      <c r="K139" s="7">
        <v>46024</v>
      </c>
      <c r="L139" s="9" t="s">
        <v>3</v>
      </c>
      <c r="M139" s="11" cm="1">
        <f t="array" ref="M139">IF(Invoices[[#This Row],[Status]]="Open",MAX(0,AsOf-Invoices[[#This Row],[Due Date]]),IF(Invoices[[#This Row],[Paid Date]]="","",MAX(0,Invoices[[#This Row],[Paid Date]]-Invoices[[#This Row],[Due Date]])))</f>
        <v>1</v>
      </c>
      <c r="N13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40" spans="1:14" ht="17.100000000000001" customHeight="1" x14ac:dyDescent="0.2">
      <c r="A140" s="6" t="s">
        <v>167</v>
      </c>
      <c r="B140" s="7">
        <v>45994</v>
      </c>
      <c r="C140" s="8" t="s">
        <v>54</v>
      </c>
      <c r="D140" s="8" t="s">
        <v>11</v>
      </c>
      <c r="E140" s="9">
        <v>30</v>
      </c>
      <c r="F140" s="7">
        <v>46024</v>
      </c>
      <c r="G140" s="10">
        <v>6530.56</v>
      </c>
      <c r="H140" s="10">
        <v>979.58</v>
      </c>
      <c r="I140" s="10">
        <v>7510.14</v>
      </c>
      <c r="J140" s="9" t="s">
        <v>2</v>
      </c>
      <c r="K140" s="7">
        <v>45991</v>
      </c>
      <c r="L140" s="9" t="s">
        <v>3</v>
      </c>
      <c r="M140" s="11" cm="1">
        <f t="array" ref="M140">IF(Invoices[[#This Row],[Status]]="Open",MAX(0,AsOf-Invoices[[#This Row],[Due Date]]),IF(Invoices[[#This Row],[Paid Date]]="","",MAX(0,Invoices[[#This Row],[Paid Date]]-Invoices[[#This Row],[Due Date]])))</f>
        <v>0</v>
      </c>
      <c r="N14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Paid before invoice</v>
      </c>
    </row>
    <row r="141" spans="1:14" ht="17.100000000000001" customHeight="1" x14ac:dyDescent="0.2">
      <c r="A141" s="6" t="s">
        <v>168</v>
      </c>
      <c r="B141" s="7">
        <v>45994</v>
      </c>
      <c r="C141" s="8" t="s">
        <v>61</v>
      </c>
      <c r="D141" s="8" t="s">
        <v>62</v>
      </c>
      <c r="E141" s="9">
        <v>15</v>
      </c>
      <c r="F141" s="7">
        <v>46009</v>
      </c>
      <c r="G141" s="10">
        <v>966.87</v>
      </c>
      <c r="H141" s="10">
        <v>145.03</v>
      </c>
      <c r="I141" s="10">
        <v>1111.9000000000001</v>
      </c>
      <c r="J141" s="9" t="s">
        <v>2</v>
      </c>
      <c r="K141" s="7">
        <v>46013</v>
      </c>
      <c r="L141" s="9" t="s">
        <v>3</v>
      </c>
      <c r="M141" s="11" cm="1">
        <f t="array" ref="M141">IF(Invoices[[#This Row],[Status]]="Open",MAX(0,AsOf-Invoices[[#This Row],[Due Date]]),IF(Invoices[[#This Row],[Paid Date]]="","",MAX(0,Invoices[[#This Row],[Paid Date]]-Invoices[[#This Row],[Due Date]])))</f>
        <v>4</v>
      </c>
      <c r="N14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42" spans="1:14" ht="17.100000000000001" customHeight="1" x14ac:dyDescent="0.2">
      <c r="A142" s="6" t="s">
        <v>169</v>
      </c>
      <c r="B142" s="7">
        <v>45994</v>
      </c>
      <c r="C142" s="8" t="s">
        <v>16</v>
      </c>
      <c r="D142" s="8" t="s">
        <v>17</v>
      </c>
      <c r="E142" s="9">
        <v>30</v>
      </c>
      <c r="F142" s="7">
        <v>46024</v>
      </c>
      <c r="G142" s="10">
        <v>2412.42</v>
      </c>
      <c r="H142" s="10">
        <v>361.86</v>
      </c>
      <c r="I142" s="10">
        <v>2774.28</v>
      </c>
      <c r="J142" s="9" t="s">
        <v>2</v>
      </c>
      <c r="K142" s="7">
        <v>46035</v>
      </c>
      <c r="L142" s="9" t="s">
        <v>3</v>
      </c>
      <c r="M142" s="11" cm="1">
        <f t="array" ref="M142">IF(Invoices[[#This Row],[Status]]="Open",MAX(0,AsOf-Invoices[[#This Row],[Due Date]]),IF(Invoices[[#This Row],[Paid Date]]="","",MAX(0,Invoices[[#This Row],[Paid Date]]-Invoices[[#This Row],[Due Date]])))</f>
        <v>11</v>
      </c>
      <c r="N14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43" spans="1:14" ht="17.100000000000001" customHeight="1" x14ac:dyDescent="0.2">
      <c r="A143" s="6" t="s">
        <v>170</v>
      </c>
      <c r="B143" s="7">
        <v>45994</v>
      </c>
      <c r="C143" s="8" t="s">
        <v>16</v>
      </c>
      <c r="D143" s="8" t="s">
        <v>17</v>
      </c>
      <c r="E143" s="9">
        <v>30</v>
      </c>
      <c r="F143" s="7">
        <v>46024</v>
      </c>
      <c r="G143" s="10">
        <v>2584.9499999999998</v>
      </c>
      <c r="H143" s="10">
        <v>387.74</v>
      </c>
      <c r="I143" s="10">
        <v>2972.69</v>
      </c>
      <c r="J143" s="9" t="s">
        <v>2</v>
      </c>
      <c r="K143" s="7">
        <v>46107</v>
      </c>
      <c r="L143" s="9" t="s">
        <v>3</v>
      </c>
      <c r="M143" s="11" cm="1">
        <f t="array" ref="M143">IF(Invoices[[#This Row],[Status]]="Open",MAX(0,AsOf-Invoices[[#This Row],[Due Date]]),IF(Invoices[[#This Row],[Paid Date]]="","",MAX(0,Invoices[[#This Row],[Paid Date]]-Invoices[[#This Row],[Due Date]])))</f>
        <v>83</v>
      </c>
      <c r="N14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44" spans="1:14" ht="17.100000000000001" customHeight="1" x14ac:dyDescent="0.2">
      <c r="A144" s="6" t="s">
        <v>171</v>
      </c>
      <c r="B144" s="7">
        <v>45995</v>
      </c>
      <c r="C144" s="8" t="s">
        <v>36</v>
      </c>
      <c r="D144" s="8" t="s">
        <v>17</v>
      </c>
      <c r="E144" s="9">
        <v>30</v>
      </c>
      <c r="F144" s="7">
        <v>46025</v>
      </c>
      <c r="G144" s="10">
        <v>7055.18</v>
      </c>
      <c r="H144" s="10">
        <v>1058.28</v>
      </c>
      <c r="I144" s="10">
        <v>8113.46</v>
      </c>
      <c r="J144" s="9" t="s">
        <v>2</v>
      </c>
      <c r="K144" s="7">
        <v>46041</v>
      </c>
      <c r="L144" s="9" t="s">
        <v>3</v>
      </c>
      <c r="M144" s="11" cm="1">
        <f t="array" ref="M144">IF(Invoices[[#This Row],[Status]]="Open",MAX(0,AsOf-Invoices[[#This Row],[Due Date]]),IF(Invoices[[#This Row],[Paid Date]]="","",MAX(0,Invoices[[#This Row],[Paid Date]]-Invoices[[#This Row],[Due Date]])))</f>
        <v>16</v>
      </c>
      <c r="N14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45" spans="1:14" ht="17.100000000000001" customHeight="1" x14ac:dyDescent="0.2">
      <c r="A145" s="6" t="s">
        <v>172</v>
      </c>
      <c r="B145" s="7">
        <v>45995</v>
      </c>
      <c r="C145" s="8" t="s">
        <v>16</v>
      </c>
      <c r="D145" s="8" t="s">
        <v>17</v>
      </c>
      <c r="E145" s="9">
        <v>30</v>
      </c>
      <c r="F145" s="7">
        <v>46025</v>
      </c>
      <c r="G145" s="10">
        <v>2205.25</v>
      </c>
      <c r="H145" s="10">
        <v>330.79</v>
      </c>
      <c r="I145" s="10">
        <v>2536.04</v>
      </c>
      <c r="J145" s="9" t="s">
        <v>2</v>
      </c>
      <c r="K145" s="7">
        <v>46029</v>
      </c>
      <c r="L145" s="9" t="s">
        <v>3</v>
      </c>
      <c r="M145" s="11" cm="1">
        <f t="array" ref="M145">IF(Invoices[[#This Row],[Status]]="Open",MAX(0,AsOf-Invoices[[#This Row],[Due Date]]),IF(Invoices[[#This Row],[Paid Date]]="","",MAX(0,Invoices[[#This Row],[Paid Date]]-Invoices[[#This Row],[Due Date]])))</f>
        <v>4</v>
      </c>
      <c r="N14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46" spans="1:14" ht="17.100000000000001" customHeight="1" x14ac:dyDescent="0.2">
      <c r="A146" s="6" t="s">
        <v>173</v>
      </c>
      <c r="B146" s="7">
        <v>45995</v>
      </c>
      <c r="C146" s="8" t="s">
        <v>34</v>
      </c>
      <c r="D146" s="8" t="s">
        <v>21</v>
      </c>
      <c r="E146" s="9">
        <v>30</v>
      </c>
      <c r="F146" s="7">
        <v>46025</v>
      </c>
      <c r="G146" s="10">
        <v>6986.39</v>
      </c>
      <c r="H146" s="10">
        <v>1047.96</v>
      </c>
      <c r="I146" s="10">
        <v>8034.35</v>
      </c>
      <c r="J146" s="9" t="s">
        <v>2</v>
      </c>
      <c r="K146" s="7">
        <v>46027</v>
      </c>
      <c r="L146" s="9" t="s">
        <v>3</v>
      </c>
      <c r="M146" s="11" cm="1">
        <f t="array" ref="M146">IF(Invoices[[#This Row],[Status]]="Open",MAX(0,AsOf-Invoices[[#This Row],[Due Date]]),IF(Invoices[[#This Row],[Paid Date]]="","",MAX(0,Invoices[[#This Row],[Paid Date]]-Invoices[[#This Row],[Due Date]])))</f>
        <v>2</v>
      </c>
      <c r="N14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47" spans="1:14" ht="17.100000000000001" customHeight="1" x14ac:dyDescent="0.2">
      <c r="A147" s="6" t="s">
        <v>174</v>
      </c>
      <c r="B147" s="7">
        <v>45995</v>
      </c>
      <c r="C147" s="8" t="s">
        <v>54</v>
      </c>
      <c r="D147" s="8" t="s">
        <v>11</v>
      </c>
      <c r="E147" s="9">
        <v>30</v>
      </c>
      <c r="F147" s="7">
        <v>46025</v>
      </c>
      <c r="G147" s="10">
        <v>3008.08</v>
      </c>
      <c r="H147" s="10">
        <v>451.21</v>
      </c>
      <c r="I147" s="10">
        <v>3459.29</v>
      </c>
      <c r="J147" s="9" t="s">
        <v>2</v>
      </c>
      <c r="K147" s="7">
        <v>46121</v>
      </c>
      <c r="L147" s="9" t="s">
        <v>3</v>
      </c>
      <c r="M147" s="11" cm="1">
        <f t="array" ref="M147">IF(Invoices[[#This Row],[Status]]="Open",MAX(0,AsOf-Invoices[[#This Row],[Due Date]]),IF(Invoices[[#This Row],[Paid Date]]="","",MAX(0,Invoices[[#This Row],[Paid Date]]-Invoices[[#This Row],[Due Date]])))</f>
        <v>96</v>
      </c>
      <c r="N14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48" spans="1:14" ht="17.100000000000001" customHeight="1" x14ac:dyDescent="0.2">
      <c r="A148" s="6" t="s">
        <v>175</v>
      </c>
      <c r="B148" s="7">
        <v>45998</v>
      </c>
      <c r="C148" s="8" t="s">
        <v>5</v>
      </c>
      <c r="D148" s="8" t="s">
        <v>6</v>
      </c>
      <c r="E148" s="9">
        <v>45</v>
      </c>
      <c r="F148" s="7">
        <v>46043</v>
      </c>
      <c r="G148" s="10">
        <v>7075.11</v>
      </c>
      <c r="H148" s="10">
        <v>1061.27</v>
      </c>
      <c r="I148" s="10">
        <v>8136.38</v>
      </c>
      <c r="J148" s="9" t="s">
        <v>2</v>
      </c>
      <c r="K148" s="7">
        <v>46048</v>
      </c>
      <c r="L148" s="9" t="s">
        <v>3</v>
      </c>
      <c r="M148" s="11" cm="1">
        <f t="array" ref="M148">IF(Invoices[[#This Row],[Status]]="Open",MAX(0,AsOf-Invoices[[#This Row],[Due Date]]),IF(Invoices[[#This Row],[Paid Date]]="","",MAX(0,Invoices[[#This Row],[Paid Date]]-Invoices[[#This Row],[Due Date]])))</f>
        <v>5</v>
      </c>
      <c r="N14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49" spans="1:14" ht="17.100000000000001" customHeight="1" x14ac:dyDescent="0.2">
      <c r="A149" s="6" t="s">
        <v>176</v>
      </c>
      <c r="B149" s="7">
        <v>45998</v>
      </c>
      <c r="C149" s="8" t="s">
        <v>66</v>
      </c>
      <c r="D149" s="8" t="s">
        <v>62</v>
      </c>
      <c r="E149" s="9">
        <v>15</v>
      </c>
      <c r="F149" s="7">
        <v>46013</v>
      </c>
      <c r="G149" s="10">
        <v>2851.38</v>
      </c>
      <c r="H149" s="10">
        <v>427.71</v>
      </c>
      <c r="I149" s="10">
        <v>3279.09</v>
      </c>
      <c r="J149" s="9" t="s">
        <v>2</v>
      </c>
      <c r="K149" s="7">
        <v>46019</v>
      </c>
      <c r="L149" s="9" t="s">
        <v>3</v>
      </c>
      <c r="M149" s="11" cm="1">
        <f t="array" ref="M149">IF(Invoices[[#This Row],[Status]]="Open",MAX(0,AsOf-Invoices[[#This Row],[Due Date]]),IF(Invoices[[#This Row],[Paid Date]]="","",MAX(0,Invoices[[#This Row],[Paid Date]]-Invoices[[#This Row],[Due Date]])))</f>
        <v>6</v>
      </c>
      <c r="N14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50" spans="1:14" ht="17.100000000000001" customHeight="1" x14ac:dyDescent="0.2">
      <c r="A150" s="6" t="s">
        <v>177</v>
      </c>
      <c r="B150" s="7">
        <v>45998</v>
      </c>
      <c r="C150" s="8" t="s">
        <v>5</v>
      </c>
      <c r="D150" s="8" t="s">
        <v>6</v>
      </c>
      <c r="E150" s="9">
        <v>45</v>
      </c>
      <c r="F150" s="7">
        <v>46043</v>
      </c>
      <c r="G150" s="10">
        <v>12877.44</v>
      </c>
      <c r="H150" s="10">
        <v>1931.62</v>
      </c>
      <c r="I150" s="10">
        <v>14809.06</v>
      </c>
      <c r="J150" s="9" t="s">
        <v>2</v>
      </c>
      <c r="K150" s="7">
        <v>46046</v>
      </c>
      <c r="L150" s="9" t="s">
        <v>3</v>
      </c>
      <c r="M150" s="11" cm="1">
        <f t="array" ref="M150">IF(Invoices[[#This Row],[Status]]="Open",MAX(0,AsOf-Invoices[[#This Row],[Due Date]]),IF(Invoices[[#This Row],[Paid Date]]="","",MAX(0,Invoices[[#This Row],[Paid Date]]-Invoices[[#This Row],[Due Date]])))</f>
        <v>3</v>
      </c>
      <c r="N15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51" spans="1:14" ht="17.100000000000001" customHeight="1" x14ac:dyDescent="0.2">
      <c r="A151" s="6" t="s">
        <v>178</v>
      </c>
      <c r="B151" s="7">
        <v>45998</v>
      </c>
      <c r="C151" s="8" t="s">
        <v>38</v>
      </c>
      <c r="D151" s="8" t="s">
        <v>39</v>
      </c>
      <c r="E151" s="9">
        <v>15</v>
      </c>
      <c r="F151" s="7">
        <v>46013</v>
      </c>
      <c r="G151" s="10">
        <v>4012.33</v>
      </c>
      <c r="H151" s="10">
        <v>601.85</v>
      </c>
      <c r="I151" s="10">
        <v>4614.18</v>
      </c>
      <c r="J151" s="9" t="s">
        <v>2</v>
      </c>
      <c r="K151" s="7">
        <v>46009</v>
      </c>
      <c r="L151" s="9" t="s">
        <v>3</v>
      </c>
      <c r="M151" s="11" cm="1">
        <f t="array" ref="M151">IF(Invoices[[#This Row],[Status]]="Open",MAX(0,AsOf-Invoices[[#This Row],[Due Date]]),IF(Invoices[[#This Row],[Paid Date]]="","",MAX(0,Invoices[[#This Row],[Paid Date]]-Invoices[[#This Row],[Due Date]])))</f>
        <v>0</v>
      </c>
      <c r="N15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52" spans="1:14" ht="17.100000000000001" customHeight="1" x14ac:dyDescent="0.2">
      <c r="A152" s="6" t="s">
        <v>179</v>
      </c>
      <c r="B152" s="7">
        <v>45998</v>
      </c>
      <c r="C152" s="8" t="s">
        <v>54</v>
      </c>
      <c r="D152" s="8" t="s">
        <v>11</v>
      </c>
      <c r="E152" s="9">
        <v>30</v>
      </c>
      <c r="F152" s="7">
        <v>46028</v>
      </c>
      <c r="G152" s="10">
        <v>6241.27</v>
      </c>
      <c r="H152" s="10">
        <v>936.19</v>
      </c>
      <c r="I152" s="10">
        <v>7177.46</v>
      </c>
      <c r="J152" s="9" t="s">
        <v>2</v>
      </c>
      <c r="K152" s="7">
        <v>46032</v>
      </c>
      <c r="L152" s="9" t="s">
        <v>3</v>
      </c>
      <c r="M152" s="11" cm="1">
        <f t="array" ref="M152">IF(Invoices[[#This Row],[Status]]="Open",MAX(0,AsOf-Invoices[[#This Row],[Due Date]]),IF(Invoices[[#This Row],[Paid Date]]="","",MAX(0,Invoices[[#This Row],[Paid Date]]-Invoices[[#This Row],[Due Date]])))</f>
        <v>4</v>
      </c>
      <c r="N15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53" spans="1:14" ht="17.100000000000001" customHeight="1" x14ac:dyDescent="0.2">
      <c r="A153" s="6" t="s">
        <v>180</v>
      </c>
      <c r="B153" s="7">
        <v>45998</v>
      </c>
      <c r="C153" s="8" t="s">
        <v>89</v>
      </c>
      <c r="D153" s="8" t="s">
        <v>39</v>
      </c>
      <c r="E153" s="9">
        <v>15</v>
      </c>
      <c r="F153" s="7">
        <v>46013</v>
      </c>
      <c r="G153" s="10">
        <v>3363.01</v>
      </c>
      <c r="H153" s="10">
        <v>504.45</v>
      </c>
      <c r="I153" s="10">
        <v>3867.46</v>
      </c>
      <c r="J153" s="9" t="s">
        <v>2</v>
      </c>
      <c r="K153" s="7">
        <v>46012</v>
      </c>
      <c r="L153" s="9" t="s">
        <v>3</v>
      </c>
      <c r="M153" s="11" cm="1">
        <f t="array" ref="M153">IF(Invoices[[#This Row],[Status]]="Open",MAX(0,AsOf-Invoices[[#This Row],[Due Date]]),IF(Invoices[[#This Row],[Paid Date]]="","",MAX(0,Invoices[[#This Row],[Paid Date]]-Invoices[[#This Row],[Due Date]])))</f>
        <v>0</v>
      </c>
      <c r="N15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54" spans="1:14" ht="17.100000000000001" customHeight="1" x14ac:dyDescent="0.2">
      <c r="A154" s="6" t="s">
        <v>181</v>
      </c>
      <c r="B154" s="7">
        <v>45998</v>
      </c>
      <c r="C154" s="8" t="s">
        <v>31</v>
      </c>
      <c r="D154" s="8" t="s">
        <v>6</v>
      </c>
      <c r="E154" s="9">
        <v>60</v>
      </c>
      <c r="F154" s="7">
        <v>46058</v>
      </c>
      <c r="G154" s="10">
        <v>17824.25</v>
      </c>
      <c r="H154" s="10">
        <v>2673.64</v>
      </c>
      <c r="I154" s="10">
        <v>20497.89</v>
      </c>
      <c r="J154" s="9" t="s">
        <v>2</v>
      </c>
      <c r="K154" s="7">
        <v>46054</v>
      </c>
      <c r="L154" s="9" t="s">
        <v>3</v>
      </c>
      <c r="M154" s="11" cm="1">
        <f t="array" ref="M154">IF(Invoices[[#This Row],[Status]]="Open",MAX(0,AsOf-Invoices[[#This Row],[Due Date]]),IF(Invoices[[#This Row],[Paid Date]]="","",MAX(0,Invoices[[#This Row],[Paid Date]]-Invoices[[#This Row],[Due Date]])))</f>
        <v>0</v>
      </c>
      <c r="N15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55" spans="1:14" ht="17.100000000000001" customHeight="1" x14ac:dyDescent="0.2">
      <c r="A155" s="6" t="s">
        <v>182</v>
      </c>
      <c r="B155" s="7">
        <v>45998</v>
      </c>
      <c r="C155" s="8" t="s">
        <v>75</v>
      </c>
      <c r="D155" s="8" t="s">
        <v>21</v>
      </c>
      <c r="E155" s="9">
        <v>30</v>
      </c>
      <c r="F155" s="7">
        <v>46028</v>
      </c>
      <c r="G155" s="10">
        <v>1583.19</v>
      </c>
      <c r="H155" s="10">
        <v>237.48</v>
      </c>
      <c r="I155" s="10">
        <v>1820.67</v>
      </c>
      <c r="J155" s="9" t="s">
        <v>2</v>
      </c>
      <c r="K155" s="7">
        <v>46024</v>
      </c>
      <c r="L155" s="9" t="s">
        <v>3</v>
      </c>
      <c r="M155" s="11" cm="1">
        <f t="array" ref="M155">IF(Invoices[[#This Row],[Status]]="Open",MAX(0,AsOf-Invoices[[#This Row],[Due Date]]),IF(Invoices[[#This Row],[Paid Date]]="","",MAX(0,Invoices[[#This Row],[Paid Date]]-Invoices[[#This Row],[Due Date]])))</f>
        <v>0</v>
      </c>
      <c r="N15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56" spans="1:14" ht="17.100000000000001" customHeight="1" x14ac:dyDescent="0.2">
      <c r="A156" s="6" t="s">
        <v>183</v>
      </c>
      <c r="B156" s="7">
        <v>45998</v>
      </c>
      <c r="C156" s="8" t="s">
        <v>5</v>
      </c>
      <c r="D156" s="8" t="s">
        <v>6</v>
      </c>
      <c r="E156" s="9">
        <v>45</v>
      </c>
      <c r="F156" s="7">
        <v>46043</v>
      </c>
      <c r="G156" s="10">
        <v>11597.23</v>
      </c>
      <c r="H156" s="10">
        <v>1739.58</v>
      </c>
      <c r="I156" s="10">
        <v>13336.81</v>
      </c>
      <c r="J156" s="9" t="s">
        <v>2</v>
      </c>
      <c r="K156" s="7">
        <v>46041</v>
      </c>
      <c r="L156" s="9" t="s">
        <v>3</v>
      </c>
      <c r="M156" s="11" cm="1">
        <f t="array" ref="M156">IF(Invoices[[#This Row],[Status]]="Open",MAX(0,AsOf-Invoices[[#This Row],[Due Date]]),IF(Invoices[[#This Row],[Paid Date]]="","",MAX(0,Invoices[[#This Row],[Paid Date]]-Invoices[[#This Row],[Due Date]])))</f>
        <v>0</v>
      </c>
      <c r="N15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57" spans="1:14" ht="17.100000000000001" customHeight="1" x14ac:dyDescent="0.2">
      <c r="A157" s="6" t="s">
        <v>184</v>
      </c>
      <c r="B157" s="7">
        <v>45999</v>
      </c>
      <c r="C157" s="8" t="s">
        <v>10</v>
      </c>
      <c r="D157" s="8" t="s">
        <v>11</v>
      </c>
      <c r="E157" s="9">
        <v>30</v>
      </c>
      <c r="F157" s="7">
        <v>46029</v>
      </c>
      <c r="G157" s="10">
        <v>2983.4</v>
      </c>
      <c r="H157" s="10">
        <v>447.51</v>
      </c>
      <c r="I157" s="10">
        <v>3430.91</v>
      </c>
      <c r="J157" s="9" t="s">
        <v>2</v>
      </c>
      <c r="K157" s="7">
        <v>46029</v>
      </c>
      <c r="L157" s="9" t="s">
        <v>3</v>
      </c>
      <c r="M157" s="11" cm="1">
        <f t="array" ref="M157">IF(Invoices[[#This Row],[Status]]="Open",MAX(0,AsOf-Invoices[[#This Row],[Due Date]]),IF(Invoices[[#This Row],[Paid Date]]="","",MAX(0,Invoices[[#This Row],[Paid Date]]-Invoices[[#This Row],[Due Date]])))</f>
        <v>0</v>
      </c>
      <c r="N15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58" spans="1:14" ht="17.100000000000001" customHeight="1" x14ac:dyDescent="0.2">
      <c r="A158" s="6" t="s">
        <v>185</v>
      </c>
      <c r="B158" s="7">
        <v>45999</v>
      </c>
      <c r="C158" s="8" t="s">
        <v>75</v>
      </c>
      <c r="D158" s="8" t="s">
        <v>21</v>
      </c>
      <c r="E158" s="9">
        <v>30</v>
      </c>
      <c r="F158" s="7">
        <v>46029</v>
      </c>
      <c r="G158" s="10">
        <v>5348.82</v>
      </c>
      <c r="H158" s="10">
        <v>802.32</v>
      </c>
      <c r="I158" s="10">
        <v>6151.14</v>
      </c>
      <c r="J158" s="9" t="s">
        <v>2</v>
      </c>
      <c r="K158" s="7">
        <v>46027</v>
      </c>
      <c r="L158" s="9" t="s">
        <v>3</v>
      </c>
      <c r="M158" s="11" cm="1">
        <f t="array" ref="M158">IF(Invoices[[#This Row],[Status]]="Open",MAX(0,AsOf-Invoices[[#This Row],[Due Date]]),IF(Invoices[[#This Row],[Paid Date]]="","",MAX(0,Invoices[[#This Row],[Paid Date]]-Invoices[[#This Row],[Due Date]])))</f>
        <v>0</v>
      </c>
      <c r="N15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59" spans="1:14" ht="17.100000000000001" customHeight="1" x14ac:dyDescent="0.2">
      <c r="A159" s="6" t="s">
        <v>186</v>
      </c>
      <c r="B159" s="7">
        <v>46001</v>
      </c>
      <c r="C159" s="8" t="s">
        <v>45</v>
      </c>
      <c r="D159" s="8" t="s">
        <v>17</v>
      </c>
      <c r="E159" s="9">
        <v>30</v>
      </c>
      <c r="F159" s="7">
        <v>46031</v>
      </c>
      <c r="G159" s="10">
        <v>4736.62</v>
      </c>
      <c r="H159" s="10">
        <v>710.49</v>
      </c>
      <c r="I159" s="10">
        <v>5447.11</v>
      </c>
      <c r="J159" s="9" t="s">
        <v>2</v>
      </c>
      <c r="K159" s="7">
        <v>46035</v>
      </c>
      <c r="L159" s="9" t="s">
        <v>3</v>
      </c>
      <c r="M159" s="11" cm="1">
        <f t="array" ref="M159">IF(Invoices[[#This Row],[Status]]="Open",MAX(0,AsOf-Invoices[[#This Row],[Due Date]]),IF(Invoices[[#This Row],[Paid Date]]="","",MAX(0,Invoices[[#This Row],[Paid Date]]-Invoices[[#This Row],[Due Date]])))</f>
        <v>4</v>
      </c>
      <c r="N15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60" spans="1:14" ht="17.100000000000001" customHeight="1" x14ac:dyDescent="0.2">
      <c r="A160" s="6" t="s">
        <v>187</v>
      </c>
      <c r="B160" s="7">
        <v>46001</v>
      </c>
      <c r="C160" s="8" t="s">
        <v>61</v>
      </c>
      <c r="D160" s="8" t="s">
        <v>62</v>
      </c>
      <c r="E160" s="9">
        <v>15</v>
      </c>
      <c r="F160" s="7">
        <v>46016</v>
      </c>
      <c r="G160" s="10">
        <v>817.12</v>
      </c>
      <c r="H160" s="10">
        <v>122.57</v>
      </c>
      <c r="I160" s="10">
        <v>939.69</v>
      </c>
      <c r="J160" s="9" t="s">
        <v>2</v>
      </c>
      <c r="K160" s="7">
        <v>46018</v>
      </c>
      <c r="L160" s="9" t="s">
        <v>3</v>
      </c>
      <c r="M160" s="11" cm="1">
        <f t="array" ref="M160">IF(Invoices[[#This Row],[Status]]="Open",MAX(0,AsOf-Invoices[[#This Row],[Due Date]]),IF(Invoices[[#This Row],[Paid Date]]="","",MAX(0,Invoices[[#This Row],[Paid Date]]-Invoices[[#This Row],[Due Date]])))</f>
        <v>2</v>
      </c>
      <c r="N16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61" spans="1:14" ht="17.100000000000001" customHeight="1" x14ac:dyDescent="0.2">
      <c r="A161" s="6" t="s">
        <v>188</v>
      </c>
      <c r="B161" s="7">
        <v>46001</v>
      </c>
      <c r="C161" s="8" t="s">
        <v>24</v>
      </c>
      <c r="D161" s="8" t="s">
        <v>25</v>
      </c>
      <c r="E161" s="9">
        <v>60</v>
      </c>
      <c r="F161" s="7">
        <v>46061</v>
      </c>
      <c r="G161" s="10">
        <v>7612.68</v>
      </c>
      <c r="H161" s="10">
        <v>1141.9000000000001</v>
      </c>
      <c r="I161" s="10">
        <v>8754.58</v>
      </c>
      <c r="J161" s="9" t="s">
        <v>2</v>
      </c>
      <c r="K161" s="7">
        <v>46067</v>
      </c>
      <c r="L161" s="9" t="s">
        <v>3</v>
      </c>
      <c r="M161" s="11" cm="1">
        <f t="array" ref="M161">IF(Invoices[[#This Row],[Status]]="Open",MAX(0,AsOf-Invoices[[#This Row],[Due Date]]),IF(Invoices[[#This Row],[Paid Date]]="","",MAX(0,Invoices[[#This Row],[Paid Date]]-Invoices[[#This Row],[Due Date]])))</f>
        <v>6</v>
      </c>
      <c r="N16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62" spans="1:14" ht="17.100000000000001" customHeight="1" x14ac:dyDescent="0.2">
      <c r="A162" s="6" t="s">
        <v>189</v>
      </c>
      <c r="B162" s="7">
        <v>46002</v>
      </c>
      <c r="C162" s="8" t="s">
        <v>31</v>
      </c>
      <c r="D162" s="8" t="s">
        <v>6</v>
      </c>
      <c r="E162" s="9">
        <v>60</v>
      </c>
      <c r="F162" s="7">
        <v>46062</v>
      </c>
      <c r="G162" s="10">
        <v>8215.07</v>
      </c>
      <c r="H162" s="10">
        <v>1232.26</v>
      </c>
      <c r="I162" s="10">
        <v>9447.33</v>
      </c>
      <c r="J162" s="9" t="s">
        <v>2</v>
      </c>
      <c r="K162" s="7">
        <v>46062</v>
      </c>
      <c r="L162" s="9" t="s">
        <v>3</v>
      </c>
      <c r="M162" s="11" cm="1">
        <f t="array" ref="M162">IF(Invoices[[#This Row],[Status]]="Open",MAX(0,AsOf-Invoices[[#This Row],[Due Date]]),IF(Invoices[[#This Row],[Paid Date]]="","",MAX(0,Invoices[[#This Row],[Paid Date]]-Invoices[[#This Row],[Due Date]])))</f>
        <v>0</v>
      </c>
      <c r="N16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63" spans="1:14" ht="17.100000000000001" customHeight="1" x14ac:dyDescent="0.2">
      <c r="A163" s="6" t="s">
        <v>190</v>
      </c>
      <c r="B163" s="7">
        <v>46002</v>
      </c>
      <c r="C163" s="8" t="s">
        <v>24</v>
      </c>
      <c r="D163" s="8" t="s">
        <v>25</v>
      </c>
      <c r="E163" s="9">
        <v>60</v>
      </c>
      <c r="F163" s="7">
        <v>46062</v>
      </c>
      <c r="G163" s="10">
        <v>10494.86</v>
      </c>
      <c r="H163" s="10">
        <v>1574.23</v>
      </c>
      <c r="I163" s="10">
        <v>12069.09</v>
      </c>
      <c r="J163" s="9" t="s">
        <v>2</v>
      </c>
      <c r="K163" s="7">
        <v>46060</v>
      </c>
      <c r="L163" s="9" t="s">
        <v>3</v>
      </c>
      <c r="M163" s="11" cm="1">
        <f t="array" ref="M163">IF(Invoices[[#This Row],[Status]]="Open",MAX(0,AsOf-Invoices[[#This Row],[Due Date]]),IF(Invoices[[#This Row],[Paid Date]]="","",MAX(0,Invoices[[#This Row],[Paid Date]]-Invoices[[#This Row],[Due Date]])))</f>
        <v>0</v>
      </c>
      <c r="N16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64" spans="1:14" ht="17.100000000000001" customHeight="1" x14ac:dyDescent="0.2">
      <c r="A164" s="6" t="s">
        <v>191</v>
      </c>
      <c r="B164" s="7">
        <v>46006</v>
      </c>
      <c r="C164" s="8" t="s">
        <v>13</v>
      </c>
      <c r="D164" s="8" t="s">
        <v>1</v>
      </c>
      <c r="E164" s="9">
        <v>30</v>
      </c>
      <c r="F164" s="7">
        <v>46036</v>
      </c>
      <c r="G164" s="10">
        <v>1761.16</v>
      </c>
      <c r="H164" s="10">
        <v>264.17</v>
      </c>
      <c r="I164" s="10">
        <v>2025.33</v>
      </c>
      <c r="J164" s="9" t="s">
        <v>2</v>
      </c>
      <c r="K164" s="7">
        <v>46031</v>
      </c>
      <c r="L164" s="9" t="s">
        <v>3</v>
      </c>
      <c r="M164" s="11" cm="1">
        <f t="array" ref="M164">IF(Invoices[[#This Row],[Status]]="Open",MAX(0,AsOf-Invoices[[#This Row],[Due Date]]),IF(Invoices[[#This Row],[Paid Date]]="","",MAX(0,Invoices[[#This Row],[Paid Date]]-Invoices[[#This Row],[Due Date]])))</f>
        <v>0</v>
      </c>
      <c r="N16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65" spans="1:14" ht="17.100000000000001" customHeight="1" x14ac:dyDescent="0.2">
      <c r="A165" s="6" t="s">
        <v>192</v>
      </c>
      <c r="B165" s="7">
        <v>46006</v>
      </c>
      <c r="C165" s="8" t="s">
        <v>75</v>
      </c>
      <c r="D165" s="8" t="s">
        <v>21</v>
      </c>
      <c r="E165" s="9">
        <v>30</v>
      </c>
      <c r="F165" s="7">
        <v>46036</v>
      </c>
      <c r="G165" s="10">
        <v>4518.95</v>
      </c>
      <c r="H165" s="10">
        <v>677.84</v>
      </c>
      <c r="I165" s="10">
        <v>5196.79</v>
      </c>
      <c r="J165" s="9" t="s">
        <v>2</v>
      </c>
      <c r="K165" s="7">
        <v>46031</v>
      </c>
      <c r="L165" s="9" t="s">
        <v>3</v>
      </c>
      <c r="M165" s="11" cm="1">
        <f t="array" ref="M165">IF(Invoices[[#This Row],[Status]]="Open",MAX(0,AsOf-Invoices[[#This Row],[Due Date]]),IF(Invoices[[#This Row],[Paid Date]]="","",MAX(0,Invoices[[#This Row],[Paid Date]]-Invoices[[#This Row],[Due Date]])))</f>
        <v>0</v>
      </c>
      <c r="N16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66" spans="1:14" ht="17.100000000000001" customHeight="1" x14ac:dyDescent="0.2">
      <c r="A166" s="6" t="s">
        <v>193</v>
      </c>
      <c r="B166" s="7">
        <v>46006</v>
      </c>
      <c r="C166" s="8" t="s">
        <v>20</v>
      </c>
      <c r="D166" s="8" t="s">
        <v>21</v>
      </c>
      <c r="E166" s="9">
        <v>30</v>
      </c>
      <c r="F166" s="7">
        <v>46036</v>
      </c>
      <c r="G166" s="10">
        <v>3363.9</v>
      </c>
      <c r="H166" s="10">
        <v>504.58</v>
      </c>
      <c r="I166" s="10">
        <v>3868.48</v>
      </c>
      <c r="J166" s="9" t="s">
        <v>2</v>
      </c>
      <c r="K166" s="7">
        <v>46042</v>
      </c>
      <c r="L166" s="9" t="s">
        <v>3</v>
      </c>
      <c r="M166" s="11" cm="1">
        <f t="array" ref="M166">IF(Invoices[[#This Row],[Status]]="Open",MAX(0,AsOf-Invoices[[#This Row],[Due Date]]),IF(Invoices[[#This Row],[Paid Date]]="","",MAX(0,Invoices[[#This Row],[Paid Date]]-Invoices[[#This Row],[Due Date]])))</f>
        <v>6</v>
      </c>
      <c r="N16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67" spans="1:14" ht="17.100000000000001" customHeight="1" x14ac:dyDescent="0.2">
      <c r="A167" s="6" t="s">
        <v>194</v>
      </c>
      <c r="B167" s="7">
        <v>46007</v>
      </c>
      <c r="C167" s="8" t="s">
        <v>20</v>
      </c>
      <c r="D167" s="8" t="s">
        <v>21</v>
      </c>
      <c r="E167" s="9">
        <v>30</v>
      </c>
      <c r="F167" s="7">
        <v>46037</v>
      </c>
      <c r="G167" s="10">
        <v>1531.95</v>
      </c>
      <c r="H167" s="10">
        <v>229.79</v>
      </c>
      <c r="I167" s="10">
        <v>1761.74</v>
      </c>
      <c r="J167" s="9" t="s">
        <v>2</v>
      </c>
      <c r="K167" s="7">
        <v>46040</v>
      </c>
      <c r="L167" s="9" t="s">
        <v>3</v>
      </c>
      <c r="M167" s="11" cm="1">
        <f t="array" ref="M167">IF(Invoices[[#This Row],[Status]]="Open",MAX(0,AsOf-Invoices[[#This Row],[Due Date]]),IF(Invoices[[#This Row],[Paid Date]]="","",MAX(0,Invoices[[#This Row],[Paid Date]]-Invoices[[#This Row],[Due Date]])))</f>
        <v>3</v>
      </c>
      <c r="N16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68" spans="1:14" ht="17.100000000000001" customHeight="1" x14ac:dyDescent="0.2">
      <c r="A168" s="6" t="s">
        <v>195</v>
      </c>
      <c r="B168" s="7">
        <v>46007</v>
      </c>
      <c r="C168" s="8" t="s">
        <v>31</v>
      </c>
      <c r="D168" s="8" t="s">
        <v>6</v>
      </c>
      <c r="E168" s="9">
        <v>60</v>
      </c>
      <c r="F168" s="7">
        <v>46067</v>
      </c>
      <c r="G168" s="10">
        <v>8365.81</v>
      </c>
      <c r="H168" s="10">
        <v>1254.8699999999999</v>
      </c>
      <c r="I168" s="10">
        <v>9620.68</v>
      </c>
      <c r="J168" s="9" t="s">
        <v>2</v>
      </c>
      <c r="K168" s="7">
        <v>46068</v>
      </c>
      <c r="L168" s="9" t="s">
        <v>3</v>
      </c>
      <c r="M168" s="11" cm="1">
        <f t="array" ref="M168">IF(Invoices[[#This Row],[Status]]="Open",MAX(0,AsOf-Invoices[[#This Row],[Due Date]]),IF(Invoices[[#This Row],[Paid Date]]="","",MAX(0,Invoices[[#This Row],[Paid Date]]-Invoices[[#This Row],[Due Date]])))</f>
        <v>1</v>
      </c>
      <c r="N16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69" spans="1:14" ht="17.100000000000001" customHeight="1" x14ac:dyDescent="0.2">
      <c r="A169" s="6" t="s">
        <v>196</v>
      </c>
      <c r="B169" s="7">
        <v>46007</v>
      </c>
      <c r="C169" s="8" t="s">
        <v>16</v>
      </c>
      <c r="D169" s="8" t="s">
        <v>17</v>
      </c>
      <c r="E169" s="9">
        <v>30</v>
      </c>
      <c r="F169" s="7">
        <v>46037</v>
      </c>
      <c r="G169" s="10">
        <v>1581.72</v>
      </c>
      <c r="H169" s="10">
        <v>237.26</v>
      </c>
      <c r="I169" s="10">
        <v>1818.98</v>
      </c>
      <c r="J169" s="9" t="s">
        <v>2</v>
      </c>
      <c r="K169" s="7">
        <v>46077</v>
      </c>
      <c r="L169" s="9" t="s">
        <v>3</v>
      </c>
      <c r="M169" s="11" cm="1">
        <f t="array" ref="M169">IF(Invoices[[#This Row],[Status]]="Open",MAX(0,AsOf-Invoices[[#This Row],[Due Date]]),IF(Invoices[[#This Row],[Paid Date]]="","",MAX(0,Invoices[[#This Row],[Paid Date]]-Invoices[[#This Row],[Due Date]])))</f>
        <v>40</v>
      </c>
      <c r="N16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70" spans="1:14" ht="17.100000000000001" customHeight="1" x14ac:dyDescent="0.2">
      <c r="A170" s="6" t="s">
        <v>197</v>
      </c>
      <c r="B170" s="7">
        <v>46008</v>
      </c>
      <c r="C170" s="8" t="s">
        <v>38</v>
      </c>
      <c r="D170" s="8" t="s">
        <v>39</v>
      </c>
      <c r="E170" s="9">
        <v>15</v>
      </c>
      <c r="F170" s="7">
        <v>46023</v>
      </c>
      <c r="G170" s="10">
        <v>2977.92</v>
      </c>
      <c r="H170" s="10">
        <v>446.69</v>
      </c>
      <c r="I170" s="10">
        <v>3424.61</v>
      </c>
      <c r="J170" s="9" t="s">
        <v>2</v>
      </c>
      <c r="K170" s="7">
        <v>46026</v>
      </c>
      <c r="L170" s="9" t="s">
        <v>3</v>
      </c>
      <c r="M170" s="11" cm="1">
        <f t="array" ref="M170">IF(Invoices[[#This Row],[Status]]="Open",MAX(0,AsOf-Invoices[[#This Row],[Due Date]]),IF(Invoices[[#This Row],[Paid Date]]="","",MAX(0,Invoices[[#This Row],[Paid Date]]-Invoices[[#This Row],[Due Date]])))</f>
        <v>3</v>
      </c>
      <c r="N17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71" spans="1:14" ht="17.100000000000001" customHeight="1" x14ac:dyDescent="0.2">
      <c r="A171" s="6" t="s">
        <v>198</v>
      </c>
      <c r="B171" s="7">
        <v>46008</v>
      </c>
      <c r="C171" s="8" t="s">
        <v>24</v>
      </c>
      <c r="D171" s="8" t="s">
        <v>25</v>
      </c>
      <c r="E171" s="9">
        <v>60</v>
      </c>
      <c r="F171" s="7">
        <v>46068</v>
      </c>
      <c r="G171" s="10">
        <v>17422.810000000001</v>
      </c>
      <c r="H171" s="10">
        <v>2613.42</v>
      </c>
      <c r="I171" s="10">
        <v>20036.23</v>
      </c>
      <c r="J171" s="9" t="s">
        <v>2</v>
      </c>
      <c r="K171" s="7">
        <v>46063</v>
      </c>
      <c r="L171" s="9" t="s">
        <v>3</v>
      </c>
      <c r="M171" s="11" cm="1">
        <f t="array" ref="M171">IF(Invoices[[#This Row],[Status]]="Open",MAX(0,AsOf-Invoices[[#This Row],[Due Date]]),IF(Invoices[[#This Row],[Paid Date]]="","",MAX(0,Invoices[[#This Row],[Paid Date]]-Invoices[[#This Row],[Due Date]])))</f>
        <v>0</v>
      </c>
      <c r="N17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72" spans="1:14" ht="17.100000000000001" customHeight="1" x14ac:dyDescent="0.2">
      <c r="A172" s="6" t="s">
        <v>199</v>
      </c>
      <c r="B172" s="7">
        <v>46009</v>
      </c>
      <c r="C172" s="8" t="s">
        <v>56</v>
      </c>
      <c r="D172" s="8" t="s">
        <v>17</v>
      </c>
      <c r="E172" s="9">
        <v>30</v>
      </c>
      <c r="F172" s="7">
        <v>46039</v>
      </c>
      <c r="G172" s="10">
        <v>2059.1799999999998</v>
      </c>
      <c r="H172" s="10">
        <v>308.88</v>
      </c>
      <c r="I172" s="10">
        <v>2368.06</v>
      </c>
      <c r="J172" s="9" t="s">
        <v>2</v>
      </c>
      <c r="K172" s="7">
        <v>46041</v>
      </c>
      <c r="L172" s="9" t="s">
        <v>3</v>
      </c>
      <c r="M172" s="11" cm="1">
        <f t="array" ref="M172">IF(Invoices[[#This Row],[Status]]="Open",MAX(0,AsOf-Invoices[[#This Row],[Due Date]]),IF(Invoices[[#This Row],[Paid Date]]="","",MAX(0,Invoices[[#This Row],[Paid Date]]-Invoices[[#This Row],[Due Date]])))</f>
        <v>2</v>
      </c>
      <c r="N17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73" spans="1:14" ht="17.100000000000001" customHeight="1" x14ac:dyDescent="0.2">
      <c r="A173" s="6" t="s">
        <v>200</v>
      </c>
      <c r="B173" s="7">
        <v>46009</v>
      </c>
      <c r="C173" s="8" t="s">
        <v>13</v>
      </c>
      <c r="D173" s="8" t="s">
        <v>1</v>
      </c>
      <c r="E173" s="9">
        <v>30</v>
      </c>
      <c r="F173" s="7">
        <v>46039</v>
      </c>
      <c r="G173" s="10">
        <v>7475.67</v>
      </c>
      <c r="H173" s="10">
        <v>1121.3499999999999</v>
      </c>
      <c r="I173" s="10">
        <v>8597.02</v>
      </c>
      <c r="J173" s="9" t="s">
        <v>2</v>
      </c>
      <c r="K173" s="7">
        <v>46042</v>
      </c>
      <c r="L173" s="9" t="s">
        <v>3</v>
      </c>
      <c r="M173" s="11" cm="1">
        <f t="array" ref="M173">IF(Invoices[[#This Row],[Status]]="Open",MAX(0,AsOf-Invoices[[#This Row],[Due Date]]),IF(Invoices[[#This Row],[Paid Date]]="","",MAX(0,Invoices[[#This Row],[Paid Date]]-Invoices[[#This Row],[Due Date]])))</f>
        <v>3</v>
      </c>
      <c r="N17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74" spans="1:14" ht="17.100000000000001" customHeight="1" x14ac:dyDescent="0.2">
      <c r="A174" s="6" t="s">
        <v>201</v>
      </c>
      <c r="B174" s="7">
        <v>46012</v>
      </c>
      <c r="C174" s="8" t="s">
        <v>31</v>
      </c>
      <c r="D174" s="8" t="s">
        <v>6</v>
      </c>
      <c r="E174" s="9">
        <v>60</v>
      </c>
      <c r="F174" s="7">
        <v>46072</v>
      </c>
      <c r="G174" s="10">
        <v>6321.83</v>
      </c>
      <c r="H174" s="10">
        <v>948.27</v>
      </c>
      <c r="I174" s="10">
        <v>7270.1</v>
      </c>
      <c r="J174" s="9" t="s">
        <v>2</v>
      </c>
      <c r="K174" s="7">
        <v>46076</v>
      </c>
      <c r="L174" s="9" t="s">
        <v>3</v>
      </c>
      <c r="M174" s="11" cm="1">
        <f t="array" ref="M174">IF(Invoices[[#This Row],[Status]]="Open",MAX(0,AsOf-Invoices[[#This Row],[Due Date]]),IF(Invoices[[#This Row],[Paid Date]]="","",MAX(0,Invoices[[#This Row],[Paid Date]]-Invoices[[#This Row],[Due Date]])))</f>
        <v>4</v>
      </c>
      <c r="N17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75" spans="1:14" ht="17.100000000000001" customHeight="1" x14ac:dyDescent="0.2">
      <c r="A175" s="6" t="s">
        <v>202</v>
      </c>
      <c r="B175" s="7">
        <v>46012</v>
      </c>
      <c r="C175" s="8" t="s">
        <v>8</v>
      </c>
      <c r="D175" s="8" t="s">
        <v>6</v>
      </c>
      <c r="E175" s="9">
        <v>45</v>
      </c>
      <c r="F175" s="7">
        <v>46057</v>
      </c>
      <c r="G175" s="10">
        <v>28367.74</v>
      </c>
      <c r="H175" s="10">
        <v>4255.16</v>
      </c>
      <c r="I175" s="10">
        <v>32622.9</v>
      </c>
      <c r="J175" s="9" t="s">
        <v>2</v>
      </c>
      <c r="K175" s="7">
        <v>46067</v>
      </c>
      <c r="L175" s="9" t="s">
        <v>3</v>
      </c>
      <c r="M175" s="11" cm="1">
        <f t="array" ref="M175">IF(Invoices[[#This Row],[Status]]="Open",MAX(0,AsOf-Invoices[[#This Row],[Due Date]]),IF(Invoices[[#This Row],[Paid Date]]="","",MAX(0,Invoices[[#This Row],[Paid Date]]-Invoices[[#This Row],[Due Date]])))</f>
        <v>10</v>
      </c>
      <c r="N17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76" spans="1:14" ht="17.100000000000001" customHeight="1" x14ac:dyDescent="0.2">
      <c r="A176" s="6" t="s">
        <v>203</v>
      </c>
      <c r="B176" s="7">
        <v>46012</v>
      </c>
      <c r="C176" s="8" t="s">
        <v>95</v>
      </c>
      <c r="D176" s="8" t="s">
        <v>62</v>
      </c>
      <c r="E176" s="9">
        <v>15</v>
      </c>
      <c r="F176" s="7">
        <v>46027</v>
      </c>
      <c r="G176" s="10">
        <v>1638.55</v>
      </c>
      <c r="H176" s="10">
        <v>245.78</v>
      </c>
      <c r="I176" s="10">
        <v>1884.33</v>
      </c>
      <c r="J176" s="9" t="s">
        <v>2</v>
      </c>
      <c r="K176" s="7">
        <v>46026</v>
      </c>
      <c r="L176" s="9" t="s">
        <v>3</v>
      </c>
      <c r="M176" s="11" cm="1">
        <f t="array" ref="M176">IF(Invoices[[#This Row],[Status]]="Open",MAX(0,AsOf-Invoices[[#This Row],[Due Date]]),IF(Invoices[[#This Row],[Paid Date]]="","",MAX(0,Invoices[[#This Row],[Paid Date]]-Invoices[[#This Row],[Due Date]])))</f>
        <v>0</v>
      </c>
      <c r="N17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77" spans="1:14" ht="17.100000000000001" customHeight="1" x14ac:dyDescent="0.2">
      <c r="A177" s="6" t="s">
        <v>204</v>
      </c>
      <c r="B177" s="7">
        <v>46012</v>
      </c>
      <c r="C177" s="8" t="s">
        <v>31</v>
      </c>
      <c r="D177" s="8" t="s">
        <v>6</v>
      </c>
      <c r="E177" s="9">
        <v>60</v>
      </c>
      <c r="F177" s="7">
        <v>46072</v>
      </c>
      <c r="G177" s="10">
        <v>19146.349999999999</v>
      </c>
      <c r="H177" s="10">
        <v>2871.95</v>
      </c>
      <c r="I177" s="10">
        <v>22018.3</v>
      </c>
      <c r="J177" s="9" t="s">
        <v>2</v>
      </c>
      <c r="K177" s="7">
        <v>46075</v>
      </c>
      <c r="L177" s="9" t="s">
        <v>3</v>
      </c>
      <c r="M177" s="11" cm="1">
        <f t="array" ref="M177">IF(Invoices[[#This Row],[Status]]="Open",MAX(0,AsOf-Invoices[[#This Row],[Due Date]]),IF(Invoices[[#This Row],[Paid Date]]="","",MAX(0,Invoices[[#This Row],[Paid Date]]-Invoices[[#This Row],[Due Date]])))</f>
        <v>3</v>
      </c>
      <c r="N17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78" spans="1:14" ht="17.100000000000001" customHeight="1" x14ac:dyDescent="0.2">
      <c r="A178" s="6" t="s">
        <v>205</v>
      </c>
      <c r="B178" s="7">
        <v>46012</v>
      </c>
      <c r="C178" s="8" t="s">
        <v>13</v>
      </c>
      <c r="D178" s="8" t="s">
        <v>1</v>
      </c>
      <c r="E178" s="9">
        <v>30</v>
      </c>
      <c r="F178" s="7">
        <v>46042</v>
      </c>
      <c r="G178" s="10">
        <v>1749.75</v>
      </c>
      <c r="H178" s="10">
        <v>262.45999999999998</v>
      </c>
      <c r="I178" s="10">
        <v>2012.21</v>
      </c>
      <c r="J178" s="9" t="s">
        <v>2</v>
      </c>
      <c r="K178" s="7">
        <v>46039</v>
      </c>
      <c r="L178" s="9" t="s">
        <v>3</v>
      </c>
      <c r="M178" s="11" cm="1">
        <f t="array" ref="M178">IF(Invoices[[#This Row],[Status]]="Open",MAX(0,AsOf-Invoices[[#This Row],[Due Date]]),IF(Invoices[[#This Row],[Paid Date]]="","",MAX(0,Invoices[[#This Row],[Paid Date]]-Invoices[[#This Row],[Due Date]])))</f>
        <v>0</v>
      </c>
      <c r="N17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79" spans="1:14" ht="17.100000000000001" customHeight="1" x14ac:dyDescent="0.2">
      <c r="A179" s="6" t="s">
        <v>206</v>
      </c>
      <c r="B179" s="7">
        <v>46012</v>
      </c>
      <c r="C179" s="8" t="s">
        <v>20</v>
      </c>
      <c r="D179" s="8" t="s">
        <v>21</v>
      </c>
      <c r="E179" s="9">
        <v>30</v>
      </c>
      <c r="F179" s="7">
        <v>46042</v>
      </c>
      <c r="G179" s="10">
        <v>5932.09</v>
      </c>
      <c r="H179" s="10">
        <v>889.81</v>
      </c>
      <c r="I179" s="10">
        <v>6821.9</v>
      </c>
      <c r="J179" s="9" t="s">
        <v>2</v>
      </c>
      <c r="K179" s="7">
        <v>46041</v>
      </c>
      <c r="L179" s="9" t="s">
        <v>3</v>
      </c>
      <c r="M179" s="11" cm="1">
        <f t="array" ref="M179">IF(Invoices[[#This Row],[Status]]="Open",MAX(0,AsOf-Invoices[[#This Row],[Due Date]]),IF(Invoices[[#This Row],[Paid Date]]="","",MAX(0,Invoices[[#This Row],[Paid Date]]-Invoices[[#This Row],[Due Date]])))</f>
        <v>0</v>
      </c>
      <c r="N17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80" spans="1:14" ht="17.100000000000001" customHeight="1" x14ac:dyDescent="0.2">
      <c r="A180" s="6" t="s">
        <v>207</v>
      </c>
      <c r="B180" s="7">
        <v>46012</v>
      </c>
      <c r="C180" s="8" t="s">
        <v>20</v>
      </c>
      <c r="D180" s="8" t="s">
        <v>21</v>
      </c>
      <c r="E180" s="9">
        <v>30</v>
      </c>
      <c r="F180" s="7">
        <v>46042</v>
      </c>
      <c r="G180" s="10">
        <v>5853.52</v>
      </c>
      <c r="H180" s="10">
        <v>878.03</v>
      </c>
      <c r="I180" s="10">
        <v>6731.55</v>
      </c>
      <c r="J180" s="9" t="s">
        <v>2</v>
      </c>
      <c r="K180" s="7">
        <v>46040</v>
      </c>
      <c r="L180" s="9" t="s">
        <v>3</v>
      </c>
      <c r="M180" s="11" cm="1">
        <f t="array" ref="M180">IF(Invoices[[#This Row],[Status]]="Open",MAX(0,AsOf-Invoices[[#This Row],[Due Date]]),IF(Invoices[[#This Row],[Paid Date]]="","",MAX(0,Invoices[[#This Row],[Paid Date]]-Invoices[[#This Row],[Due Date]])))</f>
        <v>0</v>
      </c>
      <c r="N18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81" spans="1:14" ht="17.100000000000001" customHeight="1" x14ac:dyDescent="0.2">
      <c r="A181" s="6" t="s">
        <v>208</v>
      </c>
      <c r="B181" s="7">
        <v>46013</v>
      </c>
      <c r="C181" s="8" t="s">
        <v>56</v>
      </c>
      <c r="D181" s="8" t="s">
        <v>17</v>
      </c>
      <c r="E181" s="9">
        <v>30</v>
      </c>
      <c r="F181" s="7">
        <v>46043</v>
      </c>
      <c r="G181" s="10">
        <v>4828.92</v>
      </c>
      <c r="H181" s="10">
        <v>724.34</v>
      </c>
      <c r="I181" s="10">
        <v>5553.26</v>
      </c>
      <c r="J181" s="9" t="s">
        <v>2</v>
      </c>
      <c r="K181" s="7">
        <v>46047</v>
      </c>
      <c r="L181" s="9" t="s">
        <v>3</v>
      </c>
      <c r="M181" s="11" cm="1">
        <f t="array" ref="M181">IF(Invoices[[#This Row],[Status]]="Open",MAX(0,AsOf-Invoices[[#This Row],[Due Date]]),IF(Invoices[[#This Row],[Paid Date]]="","",MAX(0,Invoices[[#This Row],[Paid Date]]-Invoices[[#This Row],[Due Date]])))</f>
        <v>4</v>
      </c>
      <c r="N18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82" spans="1:14" ht="17.100000000000001" customHeight="1" x14ac:dyDescent="0.2">
      <c r="A182" s="6" t="s">
        <v>209</v>
      </c>
      <c r="B182" s="7">
        <v>46013</v>
      </c>
      <c r="C182" s="8" t="s">
        <v>8</v>
      </c>
      <c r="D182" s="8" t="s">
        <v>6</v>
      </c>
      <c r="E182" s="9">
        <v>45</v>
      </c>
      <c r="F182" s="7">
        <v>46058</v>
      </c>
      <c r="G182" s="10">
        <v>10725.29</v>
      </c>
      <c r="H182" s="10">
        <v>1608.79</v>
      </c>
      <c r="I182" s="10">
        <v>12334.08</v>
      </c>
      <c r="J182" s="9" t="s">
        <v>2</v>
      </c>
      <c r="K182" s="7">
        <v>46067</v>
      </c>
      <c r="L182" s="9" t="s">
        <v>3</v>
      </c>
      <c r="M182" s="11" cm="1">
        <f t="array" ref="M182">IF(Invoices[[#This Row],[Status]]="Open",MAX(0,AsOf-Invoices[[#This Row],[Due Date]]),IF(Invoices[[#This Row],[Paid Date]]="","",MAX(0,Invoices[[#This Row],[Paid Date]]-Invoices[[#This Row],[Due Date]])))</f>
        <v>9</v>
      </c>
      <c r="N18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83" spans="1:14" ht="17.100000000000001" customHeight="1" x14ac:dyDescent="0.2">
      <c r="A183" s="6" t="s">
        <v>210</v>
      </c>
      <c r="B183" s="7">
        <v>46016</v>
      </c>
      <c r="C183" s="8" t="s">
        <v>45</v>
      </c>
      <c r="D183" s="8" t="s">
        <v>17</v>
      </c>
      <c r="E183" s="9">
        <v>30</v>
      </c>
      <c r="F183" s="7">
        <v>46046</v>
      </c>
      <c r="G183" s="10">
        <v>3079.32</v>
      </c>
      <c r="H183" s="10">
        <v>461.9</v>
      </c>
      <c r="I183" s="10">
        <v>3541.22</v>
      </c>
      <c r="J183" s="9" t="s">
        <v>2</v>
      </c>
      <c r="K183" s="7">
        <v>46050</v>
      </c>
      <c r="L183" s="9" t="s">
        <v>3</v>
      </c>
      <c r="M183" s="11" cm="1">
        <f t="array" ref="M183">IF(Invoices[[#This Row],[Status]]="Open",MAX(0,AsOf-Invoices[[#This Row],[Due Date]]),IF(Invoices[[#This Row],[Paid Date]]="","",MAX(0,Invoices[[#This Row],[Paid Date]]-Invoices[[#This Row],[Due Date]])))</f>
        <v>4</v>
      </c>
      <c r="N18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84" spans="1:14" ht="17.100000000000001" customHeight="1" x14ac:dyDescent="0.2">
      <c r="A184" s="6" t="s">
        <v>211</v>
      </c>
      <c r="B184" s="7">
        <v>46016</v>
      </c>
      <c r="C184" s="8" t="s">
        <v>8</v>
      </c>
      <c r="D184" s="8" t="s">
        <v>6</v>
      </c>
      <c r="E184" s="9">
        <v>45</v>
      </c>
      <c r="F184" s="7">
        <v>46061</v>
      </c>
      <c r="G184" s="10">
        <v>14034.94</v>
      </c>
      <c r="H184" s="10">
        <v>2105.2399999999998</v>
      </c>
      <c r="I184" s="10">
        <v>16140.18</v>
      </c>
      <c r="J184" s="9" t="s">
        <v>2</v>
      </c>
      <c r="K184" s="7">
        <v>46068</v>
      </c>
      <c r="L184" s="9" t="s">
        <v>3</v>
      </c>
      <c r="M184" s="11" cm="1">
        <f t="array" ref="M184">IF(Invoices[[#This Row],[Status]]="Open",MAX(0,AsOf-Invoices[[#This Row],[Due Date]]),IF(Invoices[[#This Row],[Paid Date]]="","",MAX(0,Invoices[[#This Row],[Paid Date]]-Invoices[[#This Row],[Due Date]])))</f>
        <v>7</v>
      </c>
      <c r="N18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85" spans="1:14" ht="17.100000000000001" customHeight="1" x14ac:dyDescent="0.2">
      <c r="A185" s="6" t="s">
        <v>212</v>
      </c>
      <c r="B185" s="7">
        <v>46019</v>
      </c>
      <c r="C185" s="8" t="s">
        <v>61</v>
      </c>
      <c r="D185" s="8" t="s">
        <v>62</v>
      </c>
      <c r="E185" s="9">
        <v>15</v>
      </c>
      <c r="F185" s="7">
        <v>46034</v>
      </c>
      <c r="G185" s="10">
        <v>1179.02</v>
      </c>
      <c r="H185" s="10">
        <v>176.85</v>
      </c>
      <c r="I185" s="10">
        <v>1355.87</v>
      </c>
      <c r="J185" s="9" t="s">
        <v>2</v>
      </c>
      <c r="K185" s="7">
        <v>46031</v>
      </c>
      <c r="L185" s="9" t="s">
        <v>3</v>
      </c>
      <c r="M185" s="11" cm="1">
        <f t="array" ref="M185">IF(Invoices[[#This Row],[Status]]="Open",MAX(0,AsOf-Invoices[[#This Row],[Due Date]]),IF(Invoices[[#This Row],[Paid Date]]="","",MAX(0,Invoices[[#This Row],[Paid Date]]-Invoices[[#This Row],[Due Date]])))</f>
        <v>0</v>
      </c>
      <c r="N18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86" spans="1:14" ht="17.100000000000001" customHeight="1" x14ac:dyDescent="0.2">
      <c r="A186" s="6" t="s">
        <v>213</v>
      </c>
      <c r="B186" s="7">
        <v>46019</v>
      </c>
      <c r="C186" s="8" t="s">
        <v>75</v>
      </c>
      <c r="D186" s="8" t="s">
        <v>21</v>
      </c>
      <c r="E186" s="9">
        <v>30</v>
      </c>
      <c r="F186" s="7">
        <v>46049</v>
      </c>
      <c r="G186" s="10">
        <v>1381.16</v>
      </c>
      <c r="H186" s="10">
        <v>207.17</v>
      </c>
      <c r="I186" s="10">
        <v>1588.33</v>
      </c>
      <c r="J186" s="9" t="s">
        <v>2</v>
      </c>
      <c r="K186" s="7">
        <v>46049</v>
      </c>
      <c r="L186" s="9" t="s">
        <v>3</v>
      </c>
      <c r="M186" s="11" cm="1">
        <f t="array" ref="M186">IF(Invoices[[#This Row],[Status]]="Open",MAX(0,AsOf-Invoices[[#This Row],[Due Date]]),IF(Invoices[[#This Row],[Paid Date]]="","",MAX(0,Invoices[[#This Row],[Paid Date]]-Invoices[[#This Row],[Due Date]])))</f>
        <v>0</v>
      </c>
      <c r="N18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87" spans="1:14" ht="17.100000000000001" customHeight="1" x14ac:dyDescent="0.2">
      <c r="A187" s="6" t="s">
        <v>214</v>
      </c>
      <c r="B187" s="7">
        <v>46019</v>
      </c>
      <c r="C187" s="8" t="s">
        <v>69</v>
      </c>
      <c r="D187" s="8" t="s">
        <v>6</v>
      </c>
      <c r="E187" s="9">
        <v>45</v>
      </c>
      <c r="F187" s="7">
        <v>46064</v>
      </c>
      <c r="G187" s="10">
        <v>9490.1299999999992</v>
      </c>
      <c r="H187" s="10">
        <v>1423.52</v>
      </c>
      <c r="I187" s="10">
        <v>10913.65</v>
      </c>
      <c r="J187" s="9" t="s">
        <v>2</v>
      </c>
      <c r="K187" s="7">
        <v>46067</v>
      </c>
      <c r="L187" s="9" t="s">
        <v>3</v>
      </c>
      <c r="M187" s="11" cm="1">
        <f t="array" ref="M187">IF(Invoices[[#This Row],[Status]]="Open",MAX(0,AsOf-Invoices[[#This Row],[Due Date]]),IF(Invoices[[#This Row],[Paid Date]]="","",MAX(0,Invoices[[#This Row],[Paid Date]]-Invoices[[#This Row],[Due Date]])))</f>
        <v>3</v>
      </c>
      <c r="N18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88" spans="1:14" ht="17.100000000000001" customHeight="1" x14ac:dyDescent="0.2">
      <c r="A188" s="6" t="s">
        <v>215</v>
      </c>
      <c r="B188" s="7">
        <v>46020</v>
      </c>
      <c r="C188" s="8" t="s">
        <v>34</v>
      </c>
      <c r="D188" s="8" t="s">
        <v>21</v>
      </c>
      <c r="E188" s="9">
        <v>30</v>
      </c>
      <c r="F188" s="7">
        <v>46050</v>
      </c>
      <c r="G188" s="10">
        <v>1668.96</v>
      </c>
      <c r="H188" s="10">
        <v>250.34</v>
      </c>
      <c r="I188" s="10">
        <v>1919.3</v>
      </c>
      <c r="J188" s="9" t="s">
        <v>2</v>
      </c>
      <c r="K188" s="7">
        <v>46048</v>
      </c>
      <c r="L188" s="9" t="s">
        <v>3</v>
      </c>
      <c r="M188" s="11" cm="1">
        <f t="array" ref="M188">IF(Invoices[[#This Row],[Status]]="Open",MAX(0,AsOf-Invoices[[#This Row],[Due Date]]),IF(Invoices[[#This Row],[Paid Date]]="","",MAX(0,Invoices[[#This Row],[Paid Date]]-Invoices[[#This Row],[Due Date]])))</f>
        <v>0</v>
      </c>
      <c r="N18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89" spans="1:14" ht="17.100000000000001" customHeight="1" x14ac:dyDescent="0.2">
      <c r="A189" s="6" t="s">
        <v>216</v>
      </c>
      <c r="B189" s="7">
        <v>46021</v>
      </c>
      <c r="C189" s="8" t="s">
        <v>31</v>
      </c>
      <c r="D189" s="8" t="s">
        <v>6</v>
      </c>
      <c r="E189" s="9">
        <v>60</v>
      </c>
      <c r="F189" s="7">
        <v>46081</v>
      </c>
      <c r="G189" s="10">
        <v>8986.86</v>
      </c>
      <c r="H189" s="10">
        <v>1348.03</v>
      </c>
      <c r="I189" s="10">
        <v>10334.89</v>
      </c>
      <c r="J189" s="9" t="s">
        <v>2</v>
      </c>
      <c r="K189" s="7">
        <v>46081</v>
      </c>
      <c r="L189" s="9" t="s">
        <v>3</v>
      </c>
      <c r="M189" s="11" cm="1">
        <f t="array" ref="M189">IF(Invoices[[#This Row],[Status]]="Open",MAX(0,AsOf-Invoices[[#This Row],[Due Date]]),IF(Invoices[[#This Row],[Paid Date]]="","",MAX(0,Invoices[[#This Row],[Paid Date]]-Invoices[[#This Row],[Due Date]])))</f>
        <v>0</v>
      </c>
      <c r="N18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90" spans="1:14" ht="17.100000000000001" customHeight="1" x14ac:dyDescent="0.2">
      <c r="A190" s="6" t="s">
        <v>217</v>
      </c>
      <c r="B190" s="7">
        <v>46021</v>
      </c>
      <c r="C190" s="8" t="s">
        <v>45</v>
      </c>
      <c r="D190" s="8" t="s">
        <v>17</v>
      </c>
      <c r="E190" s="9">
        <v>30</v>
      </c>
      <c r="F190" s="7">
        <v>46051</v>
      </c>
      <c r="G190" s="10">
        <v>3492.32</v>
      </c>
      <c r="H190" s="10">
        <v>523.85</v>
      </c>
      <c r="I190" s="10">
        <v>4016.17</v>
      </c>
      <c r="J190" s="9" t="s">
        <v>2</v>
      </c>
      <c r="K190" s="7">
        <v>46059</v>
      </c>
      <c r="L190" s="9" t="s">
        <v>3</v>
      </c>
      <c r="M190" s="11" cm="1">
        <f t="array" ref="M190">IF(Invoices[[#This Row],[Status]]="Open",MAX(0,AsOf-Invoices[[#This Row],[Due Date]]),IF(Invoices[[#This Row],[Paid Date]]="","",MAX(0,Invoices[[#This Row],[Paid Date]]-Invoices[[#This Row],[Due Date]])))</f>
        <v>8</v>
      </c>
      <c r="N19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91" spans="1:14" ht="17.100000000000001" customHeight="1" x14ac:dyDescent="0.2">
      <c r="A191" s="6" t="s">
        <v>218</v>
      </c>
      <c r="B191" s="7">
        <v>46021</v>
      </c>
      <c r="C191" s="8" t="s">
        <v>66</v>
      </c>
      <c r="D191" s="8" t="s">
        <v>62</v>
      </c>
      <c r="E191" s="9">
        <v>15</v>
      </c>
      <c r="F191" s="7">
        <v>46036</v>
      </c>
      <c r="G191" s="10">
        <v>1162.3900000000001</v>
      </c>
      <c r="H191" s="10">
        <v>174.36</v>
      </c>
      <c r="I191" s="10">
        <v>1336.75</v>
      </c>
      <c r="J191" s="9" t="s">
        <v>2</v>
      </c>
      <c r="K191" s="7">
        <v>46037</v>
      </c>
      <c r="L191" s="9" t="s">
        <v>3</v>
      </c>
      <c r="M191" s="11" cm="1">
        <f t="array" ref="M191">IF(Invoices[[#This Row],[Status]]="Open",MAX(0,AsOf-Invoices[[#This Row],[Due Date]]),IF(Invoices[[#This Row],[Paid Date]]="","",MAX(0,Invoices[[#This Row],[Paid Date]]-Invoices[[#This Row],[Due Date]])))</f>
        <v>1</v>
      </c>
      <c r="N19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92" spans="1:14" ht="17.100000000000001" customHeight="1" x14ac:dyDescent="0.2">
      <c r="A192" s="6" t="s">
        <v>219</v>
      </c>
      <c r="B192" s="7">
        <v>46021</v>
      </c>
      <c r="C192" s="8" t="s">
        <v>16</v>
      </c>
      <c r="D192" s="8" t="s">
        <v>17</v>
      </c>
      <c r="E192" s="9">
        <v>30</v>
      </c>
      <c r="F192" s="7">
        <v>46051</v>
      </c>
      <c r="G192" s="10">
        <v>2467.79</v>
      </c>
      <c r="H192" s="10">
        <v>370.17</v>
      </c>
      <c r="I192" s="10">
        <v>2837.96</v>
      </c>
      <c r="J192" s="9" t="s">
        <v>2</v>
      </c>
      <c r="K192" s="7">
        <v>46066</v>
      </c>
      <c r="L192" s="9" t="s">
        <v>3</v>
      </c>
      <c r="M192" s="11" cm="1">
        <f t="array" ref="M192">IF(Invoices[[#This Row],[Status]]="Open",MAX(0,AsOf-Invoices[[#This Row],[Due Date]]),IF(Invoices[[#This Row],[Paid Date]]="","",MAX(0,Invoices[[#This Row],[Paid Date]]-Invoices[[#This Row],[Due Date]])))</f>
        <v>15</v>
      </c>
      <c r="N19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93" spans="1:14" ht="17.100000000000001" customHeight="1" x14ac:dyDescent="0.2">
      <c r="A193" s="6" t="s">
        <v>220</v>
      </c>
      <c r="B193" s="7">
        <v>46022</v>
      </c>
      <c r="C193" s="8" t="s">
        <v>20</v>
      </c>
      <c r="D193" s="8" t="s">
        <v>21</v>
      </c>
      <c r="E193" s="9">
        <v>30</v>
      </c>
      <c r="F193" s="7">
        <v>46052</v>
      </c>
      <c r="G193" s="10">
        <v>2259.0100000000002</v>
      </c>
      <c r="H193" s="10">
        <v>338.85</v>
      </c>
      <c r="I193" s="10">
        <v>2597.86</v>
      </c>
      <c r="J193" s="9" t="s">
        <v>2</v>
      </c>
      <c r="K193" s="7">
        <v>46047</v>
      </c>
      <c r="L193" s="9" t="s">
        <v>3</v>
      </c>
      <c r="M193" s="11" cm="1">
        <f t="array" ref="M193">IF(Invoices[[#This Row],[Status]]="Open",MAX(0,AsOf-Invoices[[#This Row],[Due Date]]),IF(Invoices[[#This Row],[Paid Date]]="","",MAX(0,Invoices[[#This Row],[Paid Date]]-Invoices[[#This Row],[Due Date]])))</f>
        <v>0</v>
      </c>
      <c r="N19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94" spans="1:14" ht="17.100000000000001" customHeight="1" x14ac:dyDescent="0.2">
      <c r="A194" s="6" t="s">
        <v>221</v>
      </c>
      <c r="B194" s="7">
        <v>46022</v>
      </c>
      <c r="C194" s="8" t="s">
        <v>31</v>
      </c>
      <c r="D194" s="8" t="s">
        <v>6</v>
      </c>
      <c r="E194" s="9">
        <v>60</v>
      </c>
      <c r="F194" s="7">
        <v>46082</v>
      </c>
      <c r="G194" s="10">
        <v>17698.3</v>
      </c>
      <c r="H194" s="10">
        <v>2654.74</v>
      </c>
      <c r="I194" s="10">
        <v>20353.04</v>
      </c>
      <c r="J194" s="9" t="s">
        <v>2</v>
      </c>
      <c r="K194" s="7">
        <v>46159</v>
      </c>
      <c r="L194" s="9" t="s">
        <v>3</v>
      </c>
      <c r="M194" s="11" cm="1">
        <f t="array" ref="M194">IF(Invoices[[#This Row],[Status]]="Open",MAX(0,AsOf-Invoices[[#This Row],[Due Date]]),IF(Invoices[[#This Row],[Paid Date]]="","",MAX(0,Invoices[[#This Row],[Paid Date]]-Invoices[[#This Row],[Due Date]])))</f>
        <v>77</v>
      </c>
      <c r="N19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95" spans="1:14" ht="17.100000000000001" customHeight="1" x14ac:dyDescent="0.2">
      <c r="A195" s="6" t="s">
        <v>222</v>
      </c>
      <c r="B195" s="7">
        <v>46023</v>
      </c>
      <c r="C195" s="8" t="s">
        <v>34</v>
      </c>
      <c r="D195" s="8" t="s">
        <v>21</v>
      </c>
      <c r="E195" s="9">
        <v>30</v>
      </c>
      <c r="F195" s="7">
        <v>46053</v>
      </c>
      <c r="G195" s="10">
        <v>1786.18</v>
      </c>
      <c r="H195" s="10">
        <v>267.93</v>
      </c>
      <c r="I195" s="10">
        <v>2054.11</v>
      </c>
      <c r="J195" s="9" t="s">
        <v>2</v>
      </c>
      <c r="K195" s="7">
        <v>46134</v>
      </c>
      <c r="L195" s="9" t="s">
        <v>3</v>
      </c>
      <c r="M195" s="11" cm="1">
        <f t="array" ref="M195">IF(Invoices[[#This Row],[Status]]="Open",MAX(0,AsOf-Invoices[[#This Row],[Due Date]]),IF(Invoices[[#This Row],[Paid Date]]="","",MAX(0,Invoices[[#This Row],[Paid Date]]-Invoices[[#This Row],[Due Date]])))</f>
        <v>81</v>
      </c>
      <c r="N19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96" spans="1:14" ht="17.100000000000001" customHeight="1" x14ac:dyDescent="0.2">
      <c r="A196" s="6" t="s">
        <v>223</v>
      </c>
      <c r="B196" s="7">
        <v>46023</v>
      </c>
      <c r="C196" s="8" t="s">
        <v>24</v>
      </c>
      <c r="D196" s="8" t="s">
        <v>25</v>
      </c>
      <c r="E196" s="9">
        <v>60</v>
      </c>
      <c r="F196" s="7">
        <v>46083</v>
      </c>
      <c r="G196" s="10">
        <v>6849.2</v>
      </c>
      <c r="H196" s="10">
        <v>1027.3800000000001</v>
      </c>
      <c r="I196" s="10">
        <v>7876.58</v>
      </c>
      <c r="J196" s="9" t="s">
        <v>2</v>
      </c>
      <c r="K196" s="7">
        <v>46078</v>
      </c>
      <c r="L196" s="9" t="s">
        <v>3</v>
      </c>
      <c r="M196" s="11" cm="1">
        <f t="array" ref="M196">IF(Invoices[[#This Row],[Status]]="Open",MAX(0,AsOf-Invoices[[#This Row],[Due Date]]),IF(Invoices[[#This Row],[Paid Date]]="","",MAX(0,Invoices[[#This Row],[Paid Date]]-Invoices[[#This Row],[Due Date]])))</f>
        <v>0</v>
      </c>
      <c r="N19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97" spans="1:14" ht="17.100000000000001" customHeight="1" x14ac:dyDescent="0.2">
      <c r="A197" s="6" t="s">
        <v>224</v>
      </c>
      <c r="B197" s="7">
        <v>46023</v>
      </c>
      <c r="C197" s="8" t="s">
        <v>5</v>
      </c>
      <c r="D197" s="8" t="s">
        <v>6</v>
      </c>
      <c r="E197" s="9">
        <v>45</v>
      </c>
      <c r="F197" s="7">
        <v>46068</v>
      </c>
      <c r="G197" s="10">
        <v>7941.89</v>
      </c>
      <c r="H197" s="10">
        <v>1191.28</v>
      </c>
      <c r="I197" s="10">
        <v>9133.17</v>
      </c>
      <c r="J197" s="9" t="s">
        <v>2</v>
      </c>
      <c r="K197" s="7">
        <v>46063</v>
      </c>
      <c r="L197" s="9" t="s">
        <v>3</v>
      </c>
      <c r="M197" s="11" cm="1">
        <f t="array" ref="M197">IF(Invoices[[#This Row],[Status]]="Open",MAX(0,AsOf-Invoices[[#This Row],[Due Date]]),IF(Invoices[[#This Row],[Paid Date]]="","",MAX(0,Invoices[[#This Row],[Paid Date]]-Invoices[[#This Row],[Due Date]])))</f>
        <v>0</v>
      </c>
      <c r="N19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98" spans="1:14" ht="17.100000000000001" customHeight="1" x14ac:dyDescent="0.2">
      <c r="A198" s="6" t="s">
        <v>225</v>
      </c>
      <c r="B198" s="7">
        <v>46026</v>
      </c>
      <c r="C198" s="8" t="s">
        <v>75</v>
      </c>
      <c r="D198" s="8" t="s">
        <v>21</v>
      </c>
      <c r="E198" s="9">
        <v>30</v>
      </c>
      <c r="F198" s="7">
        <v>46056</v>
      </c>
      <c r="G198" s="10">
        <v>5608.39</v>
      </c>
      <c r="H198" s="10">
        <v>841.26</v>
      </c>
      <c r="I198" s="10">
        <v>6449.65</v>
      </c>
      <c r="J198" s="9" t="s">
        <v>2</v>
      </c>
      <c r="K198" s="7">
        <v>46058</v>
      </c>
      <c r="L198" s="9" t="s">
        <v>3</v>
      </c>
      <c r="M198" s="11" cm="1">
        <f t="array" ref="M198">IF(Invoices[[#This Row],[Status]]="Open",MAX(0,AsOf-Invoices[[#This Row],[Due Date]]),IF(Invoices[[#This Row],[Paid Date]]="","",MAX(0,Invoices[[#This Row],[Paid Date]]-Invoices[[#This Row],[Due Date]])))</f>
        <v>2</v>
      </c>
      <c r="N19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199" spans="1:14" ht="17.100000000000001" customHeight="1" x14ac:dyDescent="0.2">
      <c r="A199" s="6" t="s">
        <v>226</v>
      </c>
      <c r="B199" s="7">
        <v>46028</v>
      </c>
      <c r="C199" s="8" t="s">
        <v>31</v>
      </c>
      <c r="D199" s="8" t="s">
        <v>6</v>
      </c>
      <c r="E199" s="9">
        <v>60</v>
      </c>
      <c r="F199" s="7">
        <v>46088</v>
      </c>
      <c r="G199" s="10">
        <v>13841.36</v>
      </c>
      <c r="H199" s="10">
        <v>2076.1999999999998</v>
      </c>
      <c r="I199" s="10">
        <v>15917.56</v>
      </c>
      <c r="J199" s="9" t="s">
        <v>2</v>
      </c>
      <c r="K199" s="7">
        <v>46092</v>
      </c>
      <c r="L199" s="9" t="s">
        <v>3</v>
      </c>
      <c r="M199" s="11" cm="1">
        <f t="array" ref="M199">IF(Invoices[[#This Row],[Status]]="Open",MAX(0,AsOf-Invoices[[#This Row],[Due Date]]),IF(Invoices[[#This Row],[Paid Date]]="","",MAX(0,Invoices[[#This Row],[Paid Date]]-Invoices[[#This Row],[Due Date]])))</f>
        <v>4</v>
      </c>
      <c r="N19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00" spans="1:14" ht="17.100000000000001" customHeight="1" x14ac:dyDescent="0.2">
      <c r="A200" s="6" t="s">
        <v>227</v>
      </c>
      <c r="B200" s="7">
        <v>46028</v>
      </c>
      <c r="C200" s="8" t="s">
        <v>20</v>
      </c>
      <c r="D200" s="8" t="s">
        <v>21</v>
      </c>
      <c r="E200" s="9">
        <v>30</v>
      </c>
      <c r="F200" s="7">
        <v>46058</v>
      </c>
      <c r="G200" s="10">
        <v>4403.71</v>
      </c>
      <c r="H200" s="10">
        <v>660.56</v>
      </c>
      <c r="I200" s="10">
        <v>5064.2700000000004</v>
      </c>
      <c r="J200" s="9" t="s">
        <v>2</v>
      </c>
      <c r="K200" s="7">
        <v>46059</v>
      </c>
      <c r="L200" s="9" t="s">
        <v>3</v>
      </c>
      <c r="M200" s="11" cm="1">
        <f t="array" ref="M200">IF(Invoices[[#This Row],[Status]]="Open",MAX(0,AsOf-Invoices[[#This Row],[Due Date]]),IF(Invoices[[#This Row],[Paid Date]]="","",MAX(0,Invoices[[#This Row],[Paid Date]]-Invoices[[#This Row],[Due Date]])))</f>
        <v>1</v>
      </c>
      <c r="N20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01" spans="1:14" ht="17.100000000000001" customHeight="1" x14ac:dyDescent="0.2">
      <c r="A201" s="6" t="s">
        <v>228</v>
      </c>
      <c r="B201" s="7">
        <v>46028</v>
      </c>
      <c r="C201" s="8" t="s">
        <v>10</v>
      </c>
      <c r="D201" s="8" t="s">
        <v>11</v>
      </c>
      <c r="E201" s="9">
        <v>30</v>
      </c>
      <c r="F201" s="7">
        <v>46058</v>
      </c>
      <c r="G201" s="10">
        <v>4173.51</v>
      </c>
      <c r="H201" s="10">
        <v>626.03</v>
      </c>
      <c r="I201" s="10">
        <v>4799.54</v>
      </c>
      <c r="J201" s="9" t="s">
        <v>2</v>
      </c>
      <c r="K201" s="7">
        <v>46147</v>
      </c>
      <c r="L201" s="9" t="s">
        <v>3</v>
      </c>
      <c r="M201" s="11" cm="1">
        <f t="array" ref="M201">IF(Invoices[[#This Row],[Status]]="Open",MAX(0,AsOf-Invoices[[#This Row],[Due Date]]),IF(Invoices[[#This Row],[Paid Date]]="","",MAX(0,Invoices[[#This Row],[Paid Date]]-Invoices[[#This Row],[Due Date]])))</f>
        <v>89</v>
      </c>
      <c r="N20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02" spans="1:14" ht="17.100000000000001" customHeight="1" x14ac:dyDescent="0.2">
      <c r="A202" s="6" t="s">
        <v>229</v>
      </c>
      <c r="B202" s="7">
        <v>46029</v>
      </c>
      <c r="C202" s="8" t="s">
        <v>8</v>
      </c>
      <c r="D202" s="8" t="s">
        <v>6</v>
      </c>
      <c r="E202" s="9">
        <v>45</v>
      </c>
      <c r="F202" s="7">
        <v>46074</v>
      </c>
      <c r="G202" s="10">
        <v>10637.02</v>
      </c>
      <c r="H202" s="10">
        <v>1595.55</v>
      </c>
      <c r="I202" s="10">
        <v>12232.57</v>
      </c>
      <c r="J202" s="9" t="s">
        <v>2</v>
      </c>
      <c r="K202" s="7">
        <v>46074</v>
      </c>
      <c r="L202" s="9" t="s">
        <v>3</v>
      </c>
      <c r="M202" s="11" cm="1">
        <f t="array" ref="M202">IF(Invoices[[#This Row],[Status]]="Open",MAX(0,AsOf-Invoices[[#This Row],[Due Date]]),IF(Invoices[[#This Row],[Paid Date]]="","",MAX(0,Invoices[[#This Row],[Paid Date]]-Invoices[[#This Row],[Due Date]])))</f>
        <v>0</v>
      </c>
      <c r="N20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03" spans="1:14" ht="17.100000000000001" customHeight="1" x14ac:dyDescent="0.2">
      <c r="A203" s="6" t="s">
        <v>230</v>
      </c>
      <c r="B203" s="7">
        <v>46030</v>
      </c>
      <c r="C203" s="8" t="s">
        <v>10</v>
      </c>
      <c r="D203" s="8" t="s">
        <v>11</v>
      </c>
      <c r="E203" s="9">
        <v>30</v>
      </c>
      <c r="F203" s="7">
        <v>46060</v>
      </c>
      <c r="G203" s="10">
        <v>10175.969999999999</v>
      </c>
      <c r="H203" s="10">
        <v>1526.4</v>
      </c>
      <c r="I203" s="10">
        <v>11702.37</v>
      </c>
      <c r="J203" s="9" t="s">
        <v>2</v>
      </c>
      <c r="K203" s="7">
        <v>46066</v>
      </c>
      <c r="L203" s="9" t="s">
        <v>3</v>
      </c>
      <c r="M203" s="11" cm="1">
        <f t="array" ref="M203">IF(Invoices[[#This Row],[Status]]="Open",MAX(0,AsOf-Invoices[[#This Row],[Due Date]]),IF(Invoices[[#This Row],[Paid Date]]="","",MAX(0,Invoices[[#This Row],[Paid Date]]-Invoices[[#This Row],[Due Date]])))</f>
        <v>6</v>
      </c>
      <c r="N20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04" spans="1:14" ht="17.100000000000001" customHeight="1" x14ac:dyDescent="0.2">
      <c r="A204" s="6" t="s">
        <v>231</v>
      </c>
      <c r="B204" s="7">
        <v>46030</v>
      </c>
      <c r="C204" s="8" t="s">
        <v>36</v>
      </c>
      <c r="D204" s="8" t="s">
        <v>17</v>
      </c>
      <c r="E204" s="9">
        <v>30</v>
      </c>
      <c r="F204" s="7">
        <v>46060</v>
      </c>
      <c r="G204" s="10">
        <v>4051.71</v>
      </c>
      <c r="H204" s="10">
        <v>607.76</v>
      </c>
      <c r="I204" s="10">
        <v>4659.47</v>
      </c>
      <c r="J204" s="9" t="s">
        <v>2</v>
      </c>
      <c r="K204" s="7">
        <v>46067</v>
      </c>
      <c r="L204" s="9" t="s">
        <v>3</v>
      </c>
      <c r="M204" s="11" cm="1">
        <f t="array" ref="M204">IF(Invoices[[#This Row],[Status]]="Open",MAX(0,AsOf-Invoices[[#This Row],[Due Date]]),IF(Invoices[[#This Row],[Paid Date]]="","",MAX(0,Invoices[[#This Row],[Paid Date]]-Invoices[[#This Row],[Due Date]])))</f>
        <v>7</v>
      </c>
      <c r="N20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05" spans="1:14" ht="17.100000000000001" customHeight="1" x14ac:dyDescent="0.2">
      <c r="A205" s="6" t="s">
        <v>232</v>
      </c>
      <c r="B205" s="7">
        <v>46030</v>
      </c>
      <c r="C205" s="8" t="s">
        <v>31</v>
      </c>
      <c r="D205" s="8" t="s">
        <v>6</v>
      </c>
      <c r="E205" s="9">
        <v>60</v>
      </c>
      <c r="F205" s="7">
        <v>46090</v>
      </c>
      <c r="G205" s="10">
        <v>13965.85</v>
      </c>
      <c r="H205" s="10">
        <v>2094.88</v>
      </c>
      <c r="I205" s="10">
        <v>16060.73</v>
      </c>
      <c r="J205" s="9" t="s">
        <v>2</v>
      </c>
      <c r="K205" s="7">
        <v>46091</v>
      </c>
      <c r="L205" s="9" t="s">
        <v>3</v>
      </c>
      <c r="M205" s="11" cm="1">
        <f t="array" ref="M205">IF(Invoices[[#This Row],[Status]]="Open",MAX(0,AsOf-Invoices[[#This Row],[Due Date]]),IF(Invoices[[#This Row],[Paid Date]]="","",MAX(0,Invoices[[#This Row],[Paid Date]]-Invoices[[#This Row],[Due Date]])))</f>
        <v>1</v>
      </c>
      <c r="N20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06" spans="1:14" ht="17.100000000000001" customHeight="1" x14ac:dyDescent="0.2">
      <c r="A206" s="6" t="s">
        <v>233</v>
      </c>
      <c r="B206" s="7">
        <v>46033</v>
      </c>
      <c r="C206" s="8" t="s">
        <v>31</v>
      </c>
      <c r="D206" s="8" t="s">
        <v>6</v>
      </c>
      <c r="E206" s="9">
        <v>60</v>
      </c>
      <c r="F206" s="7">
        <v>46093</v>
      </c>
      <c r="G206" s="10">
        <v>6810.81</v>
      </c>
      <c r="H206" s="10">
        <v>1021.62</v>
      </c>
      <c r="I206" s="10">
        <v>7832.43</v>
      </c>
      <c r="J206" s="9" t="s">
        <v>2</v>
      </c>
      <c r="K206" s="7">
        <v>46188</v>
      </c>
      <c r="L206" s="9" t="s">
        <v>3</v>
      </c>
      <c r="M206" s="11" cm="1">
        <f t="array" ref="M206">IF(Invoices[[#This Row],[Status]]="Open",MAX(0,AsOf-Invoices[[#This Row],[Due Date]]),IF(Invoices[[#This Row],[Paid Date]]="","",MAX(0,Invoices[[#This Row],[Paid Date]]-Invoices[[#This Row],[Due Date]])))</f>
        <v>95</v>
      </c>
      <c r="N20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07" spans="1:14" ht="17.100000000000001" customHeight="1" x14ac:dyDescent="0.2">
      <c r="A207" s="6" t="s">
        <v>234</v>
      </c>
      <c r="B207" s="7">
        <v>46033</v>
      </c>
      <c r="C207" s="8" t="s">
        <v>5</v>
      </c>
      <c r="D207" s="8" t="s">
        <v>6</v>
      </c>
      <c r="E207" s="9">
        <v>45</v>
      </c>
      <c r="F207" s="7">
        <v>46078</v>
      </c>
      <c r="G207" s="10">
        <v>8150.26</v>
      </c>
      <c r="H207" s="10">
        <v>1222.54</v>
      </c>
      <c r="I207" s="10">
        <v>9372.7999999999993</v>
      </c>
      <c r="J207" s="9" t="s">
        <v>2</v>
      </c>
      <c r="K207" s="7">
        <v>46082</v>
      </c>
      <c r="L207" s="9" t="s">
        <v>3</v>
      </c>
      <c r="M207" s="11" cm="1">
        <f t="array" ref="M207">IF(Invoices[[#This Row],[Status]]="Open",MAX(0,AsOf-Invoices[[#This Row],[Due Date]]),IF(Invoices[[#This Row],[Paid Date]]="","",MAX(0,Invoices[[#This Row],[Paid Date]]-Invoices[[#This Row],[Due Date]])))</f>
        <v>4</v>
      </c>
      <c r="N20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08" spans="1:14" ht="17.100000000000001" customHeight="1" x14ac:dyDescent="0.2">
      <c r="A208" s="6" t="s">
        <v>235</v>
      </c>
      <c r="B208" s="7">
        <v>46033</v>
      </c>
      <c r="C208" s="8" t="s">
        <v>34</v>
      </c>
      <c r="D208" s="8" t="s">
        <v>21</v>
      </c>
      <c r="E208" s="9">
        <v>30</v>
      </c>
      <c r="F208" s="7">
        <v>46063</v>
      </c>
      <c r="G208" s="10">
        <v>2634.04</v>
      </c>
      <c r="H208" s="10">
        <v>395.11</v>
      </c>
      <c r="I208" s="10">
        <v>3029.15</v>
      </c>
      <c r="J208" s="9" t="s">
        <v>2</v>
      </c>
      <c r="K208" s="7">
        <v>46068</v>
      </c>
      <c r="L208" s="9" t="s">
        <v>3</v>
      </c>
      <c r="M208" s="11" cm="1">
        <f t="array" ref="M208">IF(Invoices[[#This Row],[Status]]="Open",MAX(0,AsOf-Invoices[[#This Row],[Due Date]]),IF(Invoices[[#This Row],[Paid Date]]="","",MAX(0,Invoices[[#This Row],[Paid Date]]-Invoices[[#This Row],[Due Date]])))</f>
        <v>5</v>
      </c>
      <c r="N20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09" spans="1:14" ht="17.100000000000001" customHeight="1" x14ac:dyDescent="0.2">
      <c r="A209" s="6" t="s">
        <v>236</v>
      </c>
      <c r="B209" s="7">
        <v>46034</v>
      </c>
      <c r="C209" s="8" t="s">
        <v>61</v>
      </c>
      <c r="D209" s="8" t="s">
        <v>62</v>
      </c>
      <c r="E209" s="9">
        <v>15</v>
      </c>
      <c r="F209" s="7">
        <v>46049</v>
      </c>
      <c r="G209" s="10">
        <v>2278.92</v>
      </c>
      <c r="H209" s="10">
        <v>341.84</v>
      </c>
      <c r="I209" s="10">
        <v>2620.7600000000002</v>
      </c>
      <c r="J209" s="9" t="s">
        <v>2</v>
      </c>
      <c r="K209" s="7">
        <v>46049</v>
      </c>
      <c r="L209" s="9" t="s">
        <v>3</v>
      </c>
      <c r="M209" s="11" cm="1">
        <f t="array" ref="M209">IF(Invoices[[#This Row],[Status]]="Open",MAX(0,AsOf-Invoices[[#This Row],[Due Date]]),IF(Invoices[[#This Row],[Paid Date]]="","",MAX(0,Invoices[[#This Row],[Paid Date]]-Invoices[[#This Row],[Due Date]])))</f>
        <v>0</v>
      </c>
      <c r="N20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10" spans="1:14" ht="17.100000000000001" customHeight="1" x14ac:dyDescent="0.2">
      <c r="A210" s="6" t="s">
        <v>237</v>
      </c>
      <c r="B210" s="7">
        <v>46034</v>
      </c>
      <c r="C210" s="8" t="s">
        <v>8</v>
      </c>
      <c r="D210" s="8" t="s">
        <v>6</v>
      </c>
      <c r="E210" s="9">
        <v>45</v>
      </c>
      <c r="F210" s="7">
        <v>46079</v>
      </c>
      <c r="G210" s="10">
        <v>11038.73</v>
      </c>
      <c r="H210" s="10">
        <v>1655.81</v>
      </c>
      <c r="I210" s="10">
        <v>12694.54</v>
      </c>
      <c r="J210" s="9" t="s">
        <v>2</v>
      </c>
      <c r="K210" s="7">
        <v>46078</v>
      </c>
      <c r="L210" s="9" t="s">
        <v>3</v>
      </c>
      <c r="M210" s="11" cm="1">
        <f t="array" ref="M210">IF(Invoices[[#This Row],[Status]]="Open",MAX(0,AsOf-Invoices[[#This Row],[Due Date]]),IF(Invoices[[#This Row],[Paid Date]]="","",MAX(0,Invoices[[#This Row],[Paid Date]]-Invoices[[#This Row],[Due Date]])))</f>
        <v>0</v>
      </c>
      <c r="N21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11" spans="1:14" ht="17.100000000000001" customHeight="1" x14ac:dyDescent="0.2">
      <c r="A211" s="6" t="s">
        <v>238</v>
      </c>
      <c r="B211" s="7">
        <v>46035</v>
      </c>
      <c r="C211" s="8" t="s">
        <v>34</v>
      </c>
      <c r="D211" s="8" t="s">
        <v>21</v>
      </c>
      <c r="E211" s="9">
        <v>30</v>
      </c>
      <c r="F211" s="7">
        <v>46065</v>
      </c>
      <c r="G211" s="10">
        <v>3905.05</v>
      </c>
      <c r="H211" s="10">
        <v>585.76</v>
      </c>
      <c r="I211" s="10">
        <v>4490.8100000000004</v>
      </c>
      <c r="J211" s="9" t="s">
        <v>2</v>
      </c>
      <c r="K211" s="7">
        <v>46065</v>
      </c>
      <c r="L211" s="9" t="s">
        <v>3</v>
      </c>
      <c r="M211" s="11" cm="1">
        <f t="array" ref="M211">IF(Invoices[[#This Row],[Status]]="Open",MAX(0,AsOf-Invoices[[#This Row],[Due Date]]),IF(Invoices[[#This Row],[Paid Date]]="","",MAX(0,Invoices[[#This Row],[Paid Date]]-Invoices[[#This Row],[Due Date]])))</f>
        <v>0</v>
      </c>
      <c r="N21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12" spans="1:14" ht="17.100000000000001" customHeight="1" x14ac:dyDescent="0.2">
      <c r="A212" s="6" t="s">
        <v>239</v>
      </c>
      <c r="B212" s="7">
        <v>46035</v>
      </c>
      <c r="C212" s="8" t="s">
        <v>38</v>
      </c>
      <c r="D212" s="8" t="s">
        <v>39</v>
      </c>
      <c r="E212" s="9">
        <v>15</v>
      </c>
      <c r="F212" s="7">
        <v>46050</v>
      </c>
      <c r="G212" s="10">
        <v>1960.4</v>
      </c>
      <c r="H212" s="10">
        <v>294.06</v>
      </c>
      <c r="I212" s="10">
        <v>2254.46</v>
      </c>
      <c r="J212" s="9" t="s">
        <v>2</v>
      </c>
      <c r="K212" s="7">
        <v>46050</v>
      </c>
      <c r="L212" s="9" t="s">
        <v>3</v>
      </c>
      <c r="M212" s="11" cm="1">
        <f t="array" ref="M212">IF(Invoices[[#This Row],[Status]]="Open",MAX(0,AsOf-Invoices[[#This Row],[Due Date]]),IF(Invoices[[#This Row],[Paid Date]]="","",MAX(0,Invoices[[#This Row],[Paid Date]]-Invoices[[#This Row],[Due Date]])))</f>
        <v>0</v>
      </c>
      <c r="N21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13" spans="1:14" ht="17.100000000000001" customHeight="1" x14ac:dyDescent="0.2">
      <c r="A213" s="6" t="s">
        <v>240</v>
      </c>
      <c r="B213" s="7">
        <v>46036</v>
      </c>
      <c r="C213" s="8" t="s">
        <v>24</v>
      </c>
      <c r="D213" s="8" t="s">
        <v>25</v>
      </c>
      <c r="E213" s="9">
        <v>60</v>
      </c>
      <c r="F213" s="7">
        <v>46096</v>
      </c>
      <c r="G213" s="10">
        <v>4349.76</v>
      </c>
      <c r="H213" s="10">
        <v>652.46</v>
      </c>
      <c r="I213" s="10">
        <v>5002.22</v>
      </c>
      <c r="J213" s="9" t="s">
        <v>2</v>
      </c>
      <c r="K213" s="7">
        <v>46096</v>
      </c>
      <c r="L213" s="9" t="s">
        <v>3</v>
      </c>
      <c r="M213" s="11" cm="1">
        <f t="array" ref="M213">IF(Invoices[[#This Row],[Status]]="Open",MAX(0,AsOf-Invoices[[#This Row],[Due Date]]),IF(Invoices[[#This Row],[Paid Date]]="","",MAX(0,Invoices[[#This Row],[Paid Date]]-Invoices[[#This Row],[Due Date]])))</f>
        <v>0</v>
      </c>
      <c r="N21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14" spans="1:14" ht="17.100000000000001" customHeight="1" x14ac:dyDescent="0.2">
      <c r="A214" s="6" t="s">
        <v>241</v>
      </c>
      <c r="B214" s="7">
        <v>46036</v>
      </c>
      <c r="C214" s="8" t="s">
        <v>13</v>
      </c>
      <c r="D214" s="8" t="s">
        <v>1</v>
      </c>
      <c r="E214" s="9">
        <v>30</v>
      </c>
      <c r="F214" s="7">
        <v>46066</v>
      </c>
      <c r="G214" s="10">
        <v>4328.13</v>
      </c>
      <c r="H214" s="10">
        <v>649.22</v>
      </c>
      <c r="I214" s="10">
        <v>4977.3500000000004</v>
      </c>
      <c r="J214" s="9" t="s">
        <v>2</v>
      </c>
      <c r="K214" s="7">
        <v>46068</v>
      </c>
      <c r="L214" s="9" t="s">
        <v>3</v>
      </c>
      <c r="M214" s="11" cm="1">
        <f t="array" ref="M214">IF(Invoices[[#This Row],[Status]]="Open",MAX(0,AsOf-Invoices[[#This Row],[Due Date]]),IF(Invoices[[#This Row],[Paid Date]]="","",MAX(0,Invoices[[#This Row],[Paid Date]]-Invoices[[#This Row],[Due Date]])))</f>
        <v>2</v>
      </c>
      <c r="N21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15" spans="1:14" ht="17.100000000000001" customHeight="1" x14ac:dyDescent="0.2">
      <c r="A215" s="6" t="s">
        <v>242</v>
      </c>
      <c r="B215" s="7">
        <v>46036</v>
      </c>
      <c r="C215" s="8" t="s">
        <v>31</v>
      </c>
      <c r="D215" s="8" t="s">
        <v>6</v>
      </c>
      <c r="E215" s="9">
        <v>60</v>
      </c>
      <c r="F215" s="7">
        <v>46096</v>
      </c>
      <c r="G215" s="10">
        <v>8822.2999999999993</v>
      </c>
      <c r="H215" s="10">
        <v>1323.34</v>
      </c>
      <c r="I215" s="10">
        <v>10145.64</v>
      </c>
      <c r="J215" s="9" t="s">
        <v>2</v>
      </c>
      <c r="K215" s="7">
        <v>46091</v>
      </c>
      <c r="L215" s="9" t="s">
        <v>3</v>
      </c>
      <c r="M215" s="11" cm="1">
        <f t="array" ref="M215">IF(Invoices[[#This Row],[Status]]="Open",MAX(0,AsOf-Invoices[[#This Row],[Due Date]]),IF(Invoices[[#This Row],[Paid Date]]="","",MAX(0,Invoices[[#This Row],[Paid Date]]-Invoices[[#This Row],[Due Date]])))</f>
        <v>0</v>
      </c>
      <c r="N21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16" spans="1:14" ht="17.100000000000001" customHeight="1" x14ac:dyDescent="0.2">
      <c r="A216" s="6" t="s">
        <v>243</v>
      </c>
      <c r="B216" s="7">
        <v>46036</v>
      </c>
      <c r="C216" s="8" t="s">
        <v>31</v>
      </c>
      <c r="D216" s="8" t="s">
        <v>6</v>
      </c>
      <c r="E216" s="9">
        <v>60</v>
      </c>
      <c r="F216" s="7">
        <v>46096</v>
      </c>
      <c r="G216" s="10">
        <v>5798.09</v>
      </c>
      <c r="H216" s="10">
        <v>869.71</v>
      </c>
      <c r="I216" s="10">
        <v>6667.8</v>
      </c>
      <c r="J216" s="9" t="s">
        <v>2</v>
      </c>
      <c r="K216" s="7">
        <v>46098</v>
      </c>
      <c r="L216" s="9" t="s">
        <v>3</v>
      </c>
      <c r="M216" s="11" cm="1">
        <f t="array" ref="M216">IF(Invoices[[#This Row],[Status]]="Open",MAX(0,AsOf-Invoices[[#This Row],[Due Date]]),IF(Invoices[[#This Row],[Paid Date]]="","",MAX(0,Invoices[[#This Row],[Paid Date]]-Invoices[[#This Row],[Due Date]])))</f>
        <v>2</v>
      </c>
      <c r="N21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17" spans="1:14" ht="17.100000000000001" customHeight="1" x14ac:dyDescent="0.2">
      <c r="A217" s="6" t="s">
        <v>244</v>
      </c>
      <c r="B217" s="7">
        <v>46037</v>
      </c>
      <c r="C217" s="8" t="s">
        <v>20</v>
      </c>
      <c r="D217" s="8" t="s">
        <v>21</v>
      </c>
      <c r="E217" s="9">
        <v>30</v>
      </c>
      <c r="F217" s="7">
        <v>46067</v>
      </c>
      <c r="G217" s="10">
        <v>4875.68</v>
      </c>
      <c r="H217" s="10">
        <v>731.35</v>
      </c>
      <c r="I217" s="10">
        <v>5607.03</v>
      </c>
      <c r="J217" s="9" t="s">
        <v>2</v>
      </c>
      <c r="K217" s="7">
        <v>46066</v>
      </c>
      <c r="L217" s="9" t="s">
        <v>3</v>
      </c>
      <c r="M217" s="11" cm="1">
        <f t="array" ref="M217">IF(Invoices[[#This Row],[Status]]="Open",MAX(0,AsOf-Invoices[[#This Row],[Due Date]]),IF(Invoices[[#This Row],[Paid Date]]="","",MAX(0,Invoices[[#This Row],[Paid Date]]-Invoices[[#This Row],[Due Date]])))</f>
        <v>0</v>
      </c>
      <c r="N21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18" spans="1:14" ht="17.100000000000001" customHeight="1" x14ac:dyDescent="0.2">
      <c r="A218" s="6" t="s">
        <v>245</v>
      </c>
      <c r="B218" s="7">
        <v>46037</v>
      </c>
      <c r="C218" s="8" t="s">
        <v>5</v>
      </c>
      <c r="D218" s="8" t="s">
        <v>6</v>
      </c>
      <c r="E218" s="9">
        <v>45</v>
      </c>
      <c r="F218" s="7">
        <v>46082</v>
      </c>
      <c r="G218" s="10">
        <v>9903.19</v>
      </c>
      <c r="H218" s="10">
        <v>1485.48</v>
      </c>
      <c r="I218" s="10">
        <v>11388.67</v>
      </c>
      <c r="J218" s="9" t="s">
        <v>2</v>
      </c>
      <c r="K218" s="7">
        <v>46082</v>
      </c>
      <c r="L218" s="9" t="s">
        <v>3</v>
      </c>
      <c r="M218" s="11" cm="1">
        <f t="array" ref="M218">IF(Invoices[[#This Row],[Status]]="Open",MAX(0,AsOf-Invoices[[#This Row],[Due Date]]),IF(Invoices[[#This Row],[Paid Date]]="","",MAX(0,Invoices[[#This Row],[Paid Date]]-Invoices[[#This Row],[Due Date]])))</f>
        <v>0</v>
      </c>
      <c r="N21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19" spans="1:14" ht="17.100000000000001" customHeight="1" x14ac:dyDescent="0.2">
      <c r="A219" s="6" t="s">
        <v>246</v>
      </c>
      <c r="B219" s="7">
        <v>46037</v>
      </c>
      <c r="C219" s="8" t="s">
        <v>61</v>
      </c>
      <c r="D219" s="8" t="s">
        <v>62</v>
      </c>
      <c r="E219" s="9">
        <v>15</v>
      </c>
      <c r="F219" s="7">
        <v>46052</v>
      </c>
      <c r="G219" s="10">
        <v>3281.18</v>
      </c>
      <c r="H219" s="10">
        <v>492.18</v>
      </c>
      <c r="I219" s="10">
        <v>3773.36</v>
      </c>
      <c r="J219" s="9" t="s">
        <v>2</v>
      </c>
      <c r="K219" s="7">
        <v>46051</v>
      </c>
      <c r="L219" s="9" t="s">
        <v>3</v>
      </c>
      <c r="M219" s="11" cm="1">
        <f t="array" ref="M219">IF(Invoices[[#This Row],[Status]]="Open",MAX(0,AsOf-Invoices[[#This Row],[Due Date]]),IF(Invoices[[#This Row],[Paid Date]]="","",MAX(0,Invoices[[#This Row],[Paid Date]]-Invoices[[#This Row],[Due Date]])))</f>
        <v>0</v>
      </c>
      <c r="N21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20" spans="1:14" ht="17.100000000000001" customHeight="1" x14ac:dyDescent="0.2">
      <c r="A220" s="6" t="s">
        <v>247</v>
      </c>
      <c r="B220" s="7">
        <v>46037</v>
      </c>
      <c r="C220" s="8" t="s">
        <v>8</v>
      </c>
      <c r="D220" s="8" t="s">
        <v>6</v>
      </c>
      <c r="E220" s="9">
        <v>45</v>
      </c>
      <c r="F220" s="7">
        <v>46082</v>
      </c>
      <c r="G220" s="10">
        <v>6664.32</v>
      </c>
      <c r="H220" s="10">
        <v>999.65</v>
      </c>
      <c r="I220" s="10">
        <v>7663.97</v>
      </c>
      <c r="J220" s="9" t="s">
        <v>2</v>
      </c>
      <c r="K220" s="7">
        <v>46079</v>
      </c>
      <c r="L220" s="9" t="s">
        <v>3</v>
      </c>
      <c r="M220" s="11" cm="1">
        <f t="array" ref="M220">IF(Invoices[[#This Row],[Status]]="Open",MAX(0,AsOf-Invoices[[#This Row],[Due Date]]),IF(Invoices[[#This Row],[Paid Date]]="","",MAX(0,Invoices[[#This Row],[Paid Date]]-Invoices[[#This Row],[Due Date]])))</f>
        <v>0</v>
      </c>
      <c r="N22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21" spans="1:14" ht="17.100000000000001" customHeight="1" x14ac:dyDescent="0.2">
      <c r="A221" s="6" t="s">
        <v>248</v>
      </c>
      <c r="B221" s="7">
        <v>46037</v>
      </c>
      <c r="C221" s="8" t="s">
        <v>24</v>
      </c>
      <c r="D221" s="8" t="s">
        <v>25</v>
      </c>
      <c r="E221" s="9">
        <v>60</v>
      </c>
      <c r="F221" s="7">
        <v>46097</v>
      </c>
      <c r="G221" s="10">
        <v>2718.95</v>
      </c>
      <c r="H221" s="10">
        <v>407.84</v>
      </c>
      <c r="I221" s="10">
        <v>3126.79</v>
      </c>
      <c r="J221" s="9" t="s">
        <v>2</v>
      </c>
      <c r="K221" s="7">
        <v>46092</v>
      </c>
      <c r="L221" s="9" t="s">
        <v>3</v>
      </c>
      <c r="M221" s="11" cm="1">
        <f t="array" ref="M221">IF(Invoices[[#This Row],[Status]]="Open",MAX(0,AsOf-Invoices[[#This Row],[Due Date]]),IF(Invoices[[#This Row],[Paid Date]]="","",MAX(0,Invoices[[#This Row],[Paid Date]]-Invoices[[#This Row],[Due Date]])))</f>
        <v>0</v>
      </c>
      <c r="N22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22" spans="1:14" ht="17.100000000000001" customHeight="1" x14ac:dyDescent="0.2">
      <c r="A222" s="6" t="s">
        <v>249</v>
      </c>
      <c r="B222" s="7">
        <v>46037</v>
      </c>
      <c r="C222" s="8" t="s">
        <v>5</v>
      </c>
      <c r="D222" s="8" t="s">
        <v>6</v>
      </c>
      <c r="E222" s="9">
        <v>45</v>
      </c>
      <c r="F222" s="7">
        <v>46082</v>
      </c>
      <c r="G222" s="10">
        <v>13088.18</v>
      </c>
      <c r="H222" s="10">
        <v>1963.23</v>
      </c>
      <c r="I222" s="10">
        <v>15051.41</v>
      </c>
      <c r="J222" s="9" t="s">
        <v>2</v>
      </c>
      <c r="K222" s="7">
        <v>46159</v>
      </c>
      <c r="L222" s="9" t="s">
        <v>3</v>
      </c>
      <c r="M222" s="11" cm="1">
        <f t="array" ref="M222">IF(Invoices[[#This Row],[Status]]="Open",MAX(0,AsOf-Invoices[[#This Row],[Due Date]]),IF(Invoices[[#This Row],[Paid Date]]="","",MAX(0,Invoices[[#This Row],[Paid Date]]-Invoices[[#This Row],[Due Date]])))</f>
        <v>77</v>
      </c>
      <c r="N22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23" spans="1:14" ht="17.100000000000001" customHeight="1" x14ac:dyDescent="0.2">
      <c r="A223" s="6" t="s">
        <v>250</v>
      </c>
      <c r="B223" s="7">
        <v>46040</v>
      </c>
      <c r="C223" s="8" t="s">
        <v>31</v>
      </c>
      <c r="D223" s="8" t="s">
        <v>6</v>
      </c>
      <c r="E223" s="9">
        <v>60</v>
      </c>
      <c r="F223" s="7">
        <v>46100</v>
      </c>
      <c r="G223" s="10">
        <v>8894.34</v>
      </c>
      <c r="H223" s="10">
        <v>1334.15</v>
      </c>
      <c r="I223" s="10">
        <v>10228.49</v>
      </c>
      <c r="J223" s="9" t="s">
        <v>2</v>
      </c>
      <c r="K223" s="7">
        <v>46104</v>
      </c>
      <c r="L223" s="9" t="s">
        <v>3</v>
      </c>
      <c r="M223" s="11" cm="1">
        <f t="array" ref="M223">IF(Invoices[[#This Row],[Status]]="Open",MAX(0,AsOf-Invoices[[#This Row],[Due Date]]),IF(Invoices[[#This Row],[Paid Date]]="","",MAX(0,Invoices[[#This Row],[Paid Date]]-Invoices[[#This Row],[Due Date]])))</f>
        <v>4</v>
      </c>
      <c r="N22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24" spans="1:14" ht="17.100000000000001" customHeight="1" x14ac:dyDescent="0.2">
      <c r="A224" s="6" t="s">
        <v>251</v>
      </c>
      <c r="B224" s="7">
        <v>46041</v>
      </c>
      <c r="C224" s="8" t="s">
        <v>16</v>
      </c>
      <c r="D224" s="8" t="s">
        <v>17</v>
      </c>
      <c r="E224" s="9">
        <v>30</v>
      </c>
      <c r="F224" s="7">
        <v>46071</v>
      </c>
      <c r="G224" s="10">
        <v>2042.81</v>
      </c>
      <c r="H224" s="10">
        <v>306.42</v>
      </c>
      <c r="I224" s="10">
        <v>2349.23</v>
      </c>
      <c r="J224" s="9" t="s">
        <v>2</v>
      </c>
      <c r="K224" s="7">
        <v>46073</v>
      </c>
      <c r="L224" s="9" t="s">
        <v>3</v>
      </c>
      <c r="M224" s="11" cm="1">
        <f t="array" ref="M224">IF(Invoices[[#This Row],[Status]]="Open",MAX(0,AsOf-Invoices[[#This Row],[Due Date]]),IF(Invoices[[#This Row],[Paid Date]]="","",MAX(0,Invoices[[#This Row],[Paid Date]]-Invoices[[#This Row],[Due Date]])))</f>
        <v>2</v>
      </c>
      <c r="N22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25" spans="1:14" ht="17.100000000000001" customHeight="1" x14ac:dyDescent="0.2">
      <c r="A225" s="6" t="s">
        <v>252</v>
      </c>
      <c r="B225" s="7">
        <v>46041</v>
      </c>
      <c r="C225" s="8" t="s">
        <v>13</v>
      </c>
      <c r="D225" s="8" t="s">
        <v>1</v>
      </c>
      <c r="E225" s="9">
        <v>30</v>
      </c>
      <c r="F225" s="7">
        <v>46071</v>
      </c>
      <c r="G225" s="10">
        <v>5423.89</v>
      </c>
      <c r="H225" s="10">
        <v>813.58</v>
      </c>
      <c r="I225" s="10">
        <v>6237.47</v>
      </c>
      <c r="J225" s="9" t="s">
        <v>2</v>
      </c>
      <c r="K225" s="7">
        <v>46067</v>
      </c>
      <c r="L225" s="9" t="s">
        <v>3</v>
      </c>
      <c r="M225" s="11" cm="1">
        <f t="array" ref="M225">IF(Invoices[[#This Row],[Status]]="Open",MAX(0,AsOf-Invoices[[#This Row],[Due Date]]),IF(Invoices[[#This Row],[Paid Date]]="","",MAX(0,Invoices[[#This Row],[Paid Date]]-Invoices[[#This Row],[Due Date]])))</f>
        <v>0</v>
      </c>
      <c r="N22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26" spans="1:14" ht="17.100000000000001" customHeight="1" x14ac:dyDescent="0.2">
      <c r="A226" s="6" t="s">
        <v>253</v>
      </c>
      <c r="B226" s="7">
        <v>46042</v>
      </c>
      <c r="C226" s="8" t="s">
        <v>8</v>
      </c>
      <c r="D226" s="8" t="s">
        <v>6</v>
      </c>
      <c r="E226" s="9">
        <v>45</v>
      </c>
      <c r="F226" s="7">
        <v>46087</v>
      </c>
      <c r="G226" s="10">
        <v>9686.26</v>
      </c>
      <c r="H226" s="10">
        <v>1452.94</v>
      </c>
      <c r="I226" s="10">
        <v>11139.2</v>
      </c>
      <c r="J226" s="9" t="s">
        <v>2</v>
      </c>
      <c r="K226" s="7">
        <v>46087</v>
      </c>
      <c r="L226" s="9" t="s">
        <v>3</v>
      </c>
      <c r="M226" s="11" cm="1">
        <f t="array" ref="M226">IF(Invoices[[#This Row],[Status]]="Open",MAX(0,AsOf-Invoices[[#This Row],[Due Date]]),IF(Invoices[[#This Row],[Paid Date]]="","",MAX(0,Invoices[[#This Row],[Paid Date]]-Invoices[[#This Row],[Due Date]])))</f>
        <v>0</v>
      </c>
      <c r="N22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27" spans="1:14" ht="17.100000000000001" customHeight="1" x14ac:dyDescent="0.2">
      <c r="A227" s="6" t="s">
        <v>254</v>
      </c>
      <c r="B227" s="7">
        <v>46043</v>
      </c>
      <c r="C227" s="8" t="s">
        <v>31</v>
      </c>
      <c r="D227" s="8" t="s">
        <v>6</v>
      </c>
      <c r="E227" s="9">
        <v>60</v>
      </c>
      <c r="F227" s="7">
        <v>46103</v>
      </c>
      <c r="G227" s="10">
        <v>12960.87</v>
      </c>
      <c r="H227" s="10">
        <v>1944.13</v>
      </c>
      <c r="I227" s="10">
        <v>14905</v>
      </c>
      <c r="J227" s="9" t="s">
        <v>2</v>
      </c>
      <c r="K227" s="7">
        <v>46101</v>
      </c>
      <c r="L227" s="9" t="s">
        <v>3</v>
      </c>
      <c r="M227" s="11" cm="1">
        <f t="array" ref="M227">IF(Invoices[[#This Row],[Status]]="Open",MAX(0,AsOf-Invoices[[#This Row],[Due Date]]),IF(Invoices[[#This Row],[Paid Date]]="","",MAX(0,Invoices[[#This Row],[Paid Date]]-Invoices[[#This Row],[Due Date]])))</f>
        <v>0</v>
      </c>
      <c r="N22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28" spans="1:14" ht="17.100000000000001" customHeight="1" x14ac:dyDescent="0.2">
      <c r="A228" s="6" t="s">
        <v>255</v>
      </c>
      <c r="B228" s="7">
        <v>46043</v>
      </c>
      <c r="C228" s="8" t="s">
        <v>31</v>
      </c>
      <c r="D228" s="8" t="s">
        <v>6</v>
      </c>
      <c r="E228" s="9">
        <v>60</v>
      </c>
      <c r="F228" s="7">
        <v>46103</v>
      </c>
      <c r="G228" s="10">
        <v>10077.700000000001</v>
      </c>
      <c r="H228" s="10">
        <v>1511.65</v>
      </c>
      <c r="I228" s="10">
        <v>11589.35</v>
      </c>
      <c r="J228" s="9" t="s">
        <v>2</v>
      </c>
      <c r="K228" s="7">
        <v>46104</v>
      </c>
      <c r="L228" s="9" t="s">
        <v>3</v>
      </c>
      <c r="M228" s="11" cm="1">
        <f t="array" ref="M228">IF(Invoices[[#This Row],[Status]]="Open",MAX(0,AsOf-Invoices[[#This Row],[Due Date]]),IF(Invoices[[#This Row],[Paid Date]]="","",MAX(0,Invoices[[#This Row],[Paid Date]]-Invoices[[#This Row],[Due Date]])))</f>
        <v>1</v>
      </c>
      <c r="N22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29" spans="1:14" ht="17.100000000000001" customHeight="1" x14ac:dyDescent="0.2">
      <c r="A229" s="6" t="s">
        <v>256</v>
      </c>
      <c r="B229" s="7">
        <v>46043</v>
      </c>
      <c r="C229" s="8" t="s">
        <v>8</v>
      </c>
      <c r="D229" s="8" t="s">
        <v>6</v>
      </c>
      <c r="E229" s="9">
        <v>45</v>
      </c>
      <c r="F229" s="7">
        <v>46088</v>
      </c>
      <c r="G229" s="10">
        <v>2959.9</v>
      </c>
      <c r="H229" s="10">
        <v>443.99</v>
      </c>
      <c r="I229" s="10">
        <v>3403.89</v>
      </c>
      <c r="J229" s="9" t="s">
        <v>2</v>
      </c>
      <c r="K229" s="7">
        <v>46152</v>
      </c>
      <c r="L229" s="9" t="s">
        <v>3</v>
      </c>
      <c r="M229" s="11" cm="1">
        <f t="array" ref="M229">IF(Invoices[[#This Row],[Status]]="Open",MAX(0,AsOf-Invoices[[#This Row],[Due Date]]),IF(Invoices[[#This Row],[Paid Date]]="","",MAX(0,Invoices[[#This Row],[Paid Date]]-Invoices[[#This Row],[Due Date]])))</f>
        <v>64</v>
      </c>
      <c r="N22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30" spans="1:14" ht="17.100000000000001" customHeight="1" x14ac:dyDescent="0.2">
      <c r="A230" s="6" t="s">
        <v>257</v>
      </c>
      <c r="B230" s="7">
        <v>46043</v>
      </c>
      <c r="C230" s="8" t="s">
        <v>13</v>
      </c>
      <c r="D230" s="8" t="s">
        <v>1</v>
      </c>
      <c r="E230" s="9">
        <v>30</v>
      </c>
      <c r="F230" s="7">
        <v>46073</v>
      </c>
      <c r="G230" s="10">
        <v>3316.89</v>
      </c>
      <c r="H230" s="10">
        <v>497.53</v>
      </c>
      <c r="I230" s="10">
        <v>3814.42</v>
      </c>
      <c r="J230" s="9" t="s">
        <v>2</v>
      </c>
      <c r="K230" s="7">
        <v>46070</v>
      </c>
      <c r="L230" s="9" t="s">
        <v>3</v>
      </c>
      <c r="M230" s="11" cm="1">
        <f t="array" ref="M230">IF(Invoices[[#This Row],[Status]]="Open",MAX(0,AsOf-Invoices[[#This Row],[Due Date]]),IF(Invoices[[#This Row],[Paid Date]]="","",MAX(0,Invoices[[#This Row],[Paid Date]]-Invoices[[#This Row],[Due Date]])))</f>
        <v>0</v>
      </c>
      <c r="N23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31" spans="1:14" ht="17.100000000000001" customHeight="1" x14ac:dyDescent="0.2">
      <c r="A231" s="6" t="s">
        <v>258</v>
      </c>
      <c r="B231" s="7">
        <v>46043</v>
      </c>
      <c r="C231" s="8" t="s">
        <v>5</v>
      </c>
      <c r="D231" s="8" t="s">
        <v>6</v>
      </c>
      <c r="E231" s="9">
        <v>45</v>
      </c>
      <c r="F231" s="7">
        <v>46088</v>
      </c>
      <c r="G231" s="10">
        <v>5519.32</v>
      </c>
      <c r="H231" s="10">
        <v>827.9</v>
      </c>
      <c r="I231" s="10">
        <v>6347.22</v>
      </c>
      <c r="J231" s="9" t="s">
        <v>2</v>
      </c>
      <c r="K231" s="7">
        <v>46180</v>
      </c>
      <c r="L231" s="9" t="s">
        <v>3</v>
      </c>
      <c r="M231" s="11" cm="1">
        <f t="array" ref="M231">IF(Invoices[[#This Row],[Status]]="Open",MAX(0,AsOf-Invoices[[#This Row],[Due Date]]),IF(Invoices[[#This Row],[Paid Date]]="","",MAX(0,Invoices[[#This Row],[Paid Date]]-Invoices[[#This Row],[Due Date]])))</f>
        <v>92</v>
      </c>
      <c r="N23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32" spans="1:14" ht="17.100000000000001" customHeight="1" x14ac:dyDescent="0.2">
      <c r="A232" s="6" t="s">
        <v>259</v>
      </c>
      <c r="B232" s="7">
        <v>46044</v>
      </c>
      <c r="C232" s="8" t="s">
        <v>24</v>
      </c>
      <c r="D232" s="8" t="s">
        <v>25</v>
      </c>
      <c r="E232" s="9">
        <v>60</v>
      </c>
      <c r="F232" s="7">
        <v>46044</v>
      </c>
      <c r="G232" s="10">
        <v>-3484.56</v>
      </c>
      <c r="H232" s="10">
        <v>-522.67999999999995</v>
      </c>
      <c r="I232" s="10">
        <v>-4007.24</v>
      </c>
      <c r="J232" s="9" t="s">
        <v>111</v>
      </c>
      <c r="K232" s="7"/>
      <c r="L232" s="9" t="s">
        <v>112</v>
      </c>
      <c r="M232" s="11" t="str" cm="1">
        <f t="array" ref="M232">IF(Invoices[[#This Row],[Status]]="Open",MAX(0,AsOf-Invoices[[#This Row],[Due Date]]),IF(Invoices[[#This Row],[Paid Date]]="","",MAX(0,Invoices[[#This Row],[Paid Date]]-Invoices[[#This Row],[Due Date]])))</f>
        <v/>
      </c>
      <c r="N23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33" spans="1:14" ht="17.100000000000001" customHeight="1" x14ac:dyDescent="0.2">
      <c r="A233" s="6" t="s">
        <v>260</v>
      </c>
      <c r="B233" s="7">
        <v>46044</v>
      </c>
      <c r="C233" s="8" t="s">
        <v>31</v>
      </c>
      <c r="D233" s="8" t="s">
        <v>6</v>
      </c>
      <c r="E233" s="9">
        <v>60</v>
      </c>
      <c r="F233" s="7">
        <v>46104</v>
      </c>
      <c r="G233" s="10">
        <v>10763.3</v>
      </c>
      <c r="H233" s="10">
        <v>1614.49</v>
      </c>
      <c r="I233" s="10">
        <v>12377.79</v>
      </c>
      <c r="J233" s="9" t="s">
        <v>2</v>
      </c>
      <c r="K233" s="7">
        <v>46106</v>
      </c>
      <c r="L233" s="9" t="s">
        <v>3</v>
      </c>
      <c r="M233" s="11" cm="1">
        <f t="array" ref="M233">IF(Invoices[[#This Row],[Status]]="Open",MAX(0,AsOf-Invoices[[#This Row],[Due Date]]),IF(Invoices[[#This Row],[Paid Date]]="","",MAX(0,Invoices[[#This Row],[Paid Date]]-Invoices[[#This Row],[Due Date]])))</f>
        <v>2</v>
      </c>
      <c r="N23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34" spans="1:14" ht="17.100000000000001" customHeight="1" x14ac:dyDescent="0.2">
      <c r="A234" s="6" t="s">
        <v>261</v>
      </c>
      <c r="B234" s="7">
        <v>46044</v>
      </c>
      <c r="C234" s="8" t="s">
        <v>69</v>
      </c>
      <c r="D234" s="8" t="s">
        <v>6</v>
      </c>
      <c r="E234" s="9">
        <v>45</v>
      </c>
      <c r="F234" s="7">
        <v>46089</v>
      </c>
      <c r="G234" s="10">
        <v>6906.18</v>
      </c>
      <c r="H234" s="10">
        <v>1035.93</v>
      </c>
      <c r="I234" s="10">
        <v>7942.11</v>
      </c>
      <c r="J234" s="9" t="s">
        <v>2</v>
      </c>
      <c r="K234" s="7">
        <v>46085</v>
      </c>
      <c r="L234" s="9" t="s">
        <v>3</v>
      </c>
      <c r="M234" s="11" cm="1">
        <f t="array" ref="M234">IF(Invoices[[#This Row],[Status]]="Open",MAX(0,AsOf-Invoices[[#This Row],[Due Date]]),IF(Invoices[[#This Row],[Paid Date]]="","",MAX(0,Invoices[[#This Row],[Paid Date]]-Invoices[[#This Row],[Due Date]])))</f>
        <v>0</v>
      </c>
      <c r="N23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35" spans="1:14" ht="17.100000000000001" customHeight="1" x14ac:dyDescent="0.2">
      <c r="A235" s="6" t="s">
        <v>262</v>
      </c>
      <c r="B235" s="7">
        <v>46044</v>
      </c>
      <c r="C235" s="8" t="s">
        <v>61</v>
      </c>
      <c r="D235" s="8" t="s">
        <v>62</v>
      </c>
      <c r="E235" s="9">
        <v>15</v>
      </c>
      <c r="F235" s="7">
        <v>46059</v>
      </c>
      <c r="G235" s="10">
        <v>1769.61</v>
      </c>
      <c r="H235" s="10">
        <v>265.44</v>
      </c>
      <c r="I235" s="10">
        <v>2035.05</v>
      </c>
      <c r="J235" s="9" t="s">
        <v>2</v>
      </c>
      <c r="K235" s="7">
        <v>46060</v>
      </c>
      <c r="L235" s="9" t="s">
        <v>3</v>
      </c>
      <c r="M235" s="11" cm="1">
        <f t="array" ref="M235">IF(Invoices[[#This Row],[Status]]="Open",MAX(0,AsOf-Invoices[[#This Row],[Due Date]]),IF(Invoices[[#This Row],[Paid Date]]="","",MAX(0,Invoices[[#This Row],[Paid Date]]-Invoices[[#This Row],[Due Date]])))</f>
        <v>1</v>
      </c>
      <c r="N23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36" spans="1:14" ht="17.100000000000001" customHeight="1" x14ac:dyDescent="0.2">
      <c r="A236" s="6" t="s">
        <v>263</v>
      </c>
      <c r="B236" s="7">
        <v>46044</v>
      </c>
      <c r="C236" s="8" t="s">
        <v>56</v>
      </c>
      <c r="D236" s="8" t="s">
        <v>17</v>
      </c>
      <c r="E236" s="9">
        <v>30</v>
      </c>
      <c r="F236" s="7">
        <v>46074</v>
      </c>
      <c r="G236" s="10">
        <v>2554.42</v>
      </c>
      <c r="H236" s="10">
        <v>383.16</v>
      </c>
      <c r="I236" s="10">
        <v>2937.58</v>
      </c>
      <c r="J236" s="9" t="s">
        <v>2</v>
      </c>
      <c r="K236" s="7">
        <v>46089</v>
      </c>
      <c r="L236" s="9" t="s">
        <v>3</v>
      </c>
      <c r="M236" s="11" cm="1">
        <f t="array" ref="M236">IF(Invoices[[#This Row],[Status]]="Open",MAX(0,AsOf-Invoices[[#This Row],[Due Date]]),IF(Invoices[[#This Row],[Paid Date]]="","",MAX(0,Invoices[[#This Row],[Paid Date]]-Invoices[[#This Row],[Due Date]])))</f>
        <v>15</v>
      </c>
      <c r="N23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37" spans="1:14" ht="17.100000000000001" customHeight="1" x14ac:dyDescent="0.2">
      <c r="A237" s="6" t="s">
        <v>264</v>
      </c>
      <c r="B237" s="7">
        <v>46044</v>
      </c>
      <c r="C237" s="8" t="s">
        <v>20</v>
      </c>
      <c r="D237" s="8" t="s">
        <v>21</v>
      </c>
      <c r="E237" s="9">
        <v>30</v>
      </c>
      <c r="F237" s="7">
        <v>46074</v>
      </c>
      <c r="G237" s="10">
        <v>8608.09</v>
      </c>
      <c r="H237" s="10">
        <v>1291.21</v>
      </c>
      <c r="I237" s="10">
        <v>9899.2999999999993</v>
      </c>
      <c r="J237" s="9" t="s">
        <v>2</v>
      </c>
      <c r="K237" s="7">
        <v>46074</v>
      </c>
      <c r="L237" s="9" t="s">
        <v>3</v>
      </c>
      <c r="M237" s="11" cm="1">
        <f t="array" ref="M237">IF(Invoices[[#This Row],[Status]]="Open",MAX(0,AsOf-Invoices[[#This Row],[Due Date]]),IF(Invoices[[#This Row],[Paid Date]]="","",MAX(0,Invoices[[#This Row],[Paid Date]]-Invoices[[#This Row],[Due Date]])))</f>
        <v>0</v>
      </c>
      <c r="N23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38" spans="1:14" ht="17.100000000000001" customHeight="1" x14ac:dyDescent="0.2">
      <c r="A238" s="6" t="s">
        <v>265</v>
      </c>
      <c r="B238" s="7">
        <v>46047</v>
      </c>
      <c r="C238" s="8" t="s">
        <v>5</v>
      </c>
      <c r="D238" s="8" t="s">
        <v>6</v>
      </c>
      <c r="E238" s="9">
        <v>45</v>
      </c>
      <c r="F238" s="7">
        <v>46092</v>
      </c>
      <c r="G238" s="10">
        <v>17153.68</v>
      </c>
      <c r="H238" s="10">
        <v>2573.0500000000002</v>
      </c>
      <c r="I238" s="10">
        <v>19726.73</v>
      </c>
      <c r="J238" s="9" t="s">
        <v>2</v>
      </c>
      <c r="K238" s="7">
        <v>46093</v>
      </c>
      <c r="L238" s="9" t="s">
        <v>3</v>
      </c>
      <c r="M238" s="11" cm="1">
        <f t="array" ref="M238">IF(Invoices[[#This Row],[Status]]="Open",MAX(0,AsOf-Invoices[[#This Row],[Due Date]]),IF(Invoices[[#This Row],[Paid Date]]="","",MAX(0,Invoices[[#This Row],[Paid Date]]-Invoices[[#This Row],[Due Date]])))</f>
        <v>1</v>
      </c>
      <c r="N23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39" spans="1:14" ht="17.100000000000001" customHeight="1" x14ac:dyDescent="0.2">
      <c r="A239" s="6" t="s">
        <v>266</v>
      </c>
      <c r="B239" s="7">
        <v>46047</v>
      </c>
      <c r="C239" s="8" t="s">
        <v>36</v>
      </c>
      <c r="D239" s="8" t="s">
        <v>17</v>
      </c>
      <c r="E239" s="9">
        <v>30</v>
      </c>
      <c r="F239" s="7">
        <v>46077</v>
      </c>
      <c r="G239" s="10">
        <v>2413.02</v>
      </c>
      <c r="H239" s="10">
        <v>361.95</v>
      </c>
      <c r="I239" s="10">
        <v>2774.97</v>
      </c>
      <c r="J239" s="9" t="s">
        <v>2</v>
      </c>
      <c r="K239" s="7">
        <v>46088</v>
      </c>
      <c r="L239" s="9" t="s">
        <v>3</v>
      </c>
      <c r="M239" s="11" cm="1">
        <f t="array" ref="M239">IF(Invoices[[#This Row],[Status]]="Open",MAX(0,AsOf-Invoices[[#This Row],[Due Date]]),IF(Invoices[[#This Row],[Paid Date]]="","",MAX(0,Invoices[[#This Row],[Paid Date]]-Invoices[[#This Row],[Due Date]])))</f>
        <v>11</v>
      </c>
      <c r="N23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40" spans="1:14" ht="17.100000000000001" customHeight="1" x14ac:dyDescent="0.2">
      <c r="A240" s="6" t="s">
        <v>267</v>
      </c>
      <c r="B240" s="7">
        <v>46048</v>
      </c>
      <c r="C240" s="8" t="s">
        <v>13</v>
      </c>
      <c r="D240" s="8" t="s">
        <v>1</v>
      </c>
      <c r="E240" s="9">
        <v>30</v>
      </c>
      <c r="F240" s="7">
        <v>46078</v>
      </c>
      <c r="G240" s="10">
        <v>6565.42</v>
      </c>
      <c r="H240" s="10">
        <v>984.81</v>
      </c>
      <c r="I240" s="10">
        <v>7550.23</v>
      </c>
      <c r="J240" s="9" t="s">
        <v>2</v>
      </c>
      <c r="K240" s="7">
        <v>46073</v>
      </c>
      <c r="L240" s="9" t="s">
        <v>3</v>
      </c>
      <c r="M240" s="11" cm="1">
        <f t="array" ref="M240">IF(Invoices[[#This Row],[Status]]="Open",MAX(0,AsOf-Invoices[[#This Row],[Due Date]]),IF(Invoices[[#This Row],[Paid Date]]="","",MAX(0,Invoices[[#This Row],[Paid Date]]-Invoices[[#This Row],[Due Date]])))</f>
        <v>0</v>
      </c>
      <c r="N24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41" spans="1:14" ht="17.100000000000001" customHeight="1" x14ac:dyDescent="0.2">
      <c r="A241" s="6" t="s">
        <v>268</v>
      </c>
      <c r="B241" s="7">
        <v>46048</v>
      </c>
      <c r="C241" s="8" t="s">
        <v>54</v>
      </c>
      <c r="D241" s="8" t="s">
        <v>11</v>
      </c>
      <c r="E241" s="9">
        <v>30</v>
      </c>
      <c r="F241" s="7">
        <v>46078</v>
      </c>
      <c r="G241" s="10">
        <v>4546.3900000000003</v>
      </c>
      <c r="H241" s="10">
        <v>681.96</v>
      </c>
      <c r="I241" s="10">
        <v>5228.3500000000004</v>
      </c>
      <c r="J241" s="9" t="s">
        <v>2</v>
      </c>
      <c r="K241" s="7">
        <v>46161</v>
      </c>
      <c r="L241" s="9" t="s">
        <v>3</v>
      </c>
      <c r="M241" s="11" cm="1">
        <f t="array" ref="M241">IF(Invoices[[#This Row],[Status]]="Open",MAX(0,AsOf-Invoices[[#This Row],[Due Date]]),IF(Invoices[[#This Row],[Paid Date]]="","",MAX(0,Invoices[[#This Row],[Paid Date]]-Invoices[[#This Row],[Due Date]])))</f>
        <v>83</v>
      </c>
      <c r="N24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42" spans="1:14" ht="17.100000000000001" customHeight="1" x14ac:dyDescent="0.2">
      <c r="A242" s="6" t="s">
        <v>269</v>
      </c>
      <c r="B242" s="7">
        <v>46049</v>
      </c>
      <c r="C242" s="8" t="s">
        <v>75</v>
      </c>
      <c r="D242" s="8" t="s">
        <v>21</v>
      </c>
      <c r="E242" s="9">
        <v>30</v>
      </c>
      <c r="F242" s="7">
        <v>46079</v>
      </c>
      <c r="G242" s="10">
        <v>2601.2199999999998</v>
      </c>
      <c r="H242" s="10">
        <v>390.18</v>
      </c>
      <c r="I242" s="10">
        <v>2991.4</v>
      </c>
      <c r="J242" s="9" t="s">
        <v>2</v>
      </c>
      <c r="K242" s="7">
        <v>46077</v>
      </c>
      <c r="L242" s="9" t="s">
        <v>3</v>
      </c>
      <c r="M242" s="11" cm="1">
        <f t="array" ref="M242">IF(Invoices[[#This Row],[Status]]="Open",MAX(0,AsOf-Invoices[[#This Row],[Due Date]]),IF(Invoices[[#This Row],[Paid Date]]="","",MAX(0,Invoices[[#This Row],[Paid Date]]-Invoices[[#This Row],[Due Date]])))</f>
        <v>0</v>
      </c>
      <c r="N24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43" spans="1:14" ht="17.100000000000001" customHeight="1" x14ac:dyDescent="0.2">
      <c r="A243" s="6" t="s">
        <v>270</v>
      </c>
      <c r="B243" s="7">
        <v>46049</v>
      </c>
      <c r="C243" s="8" t="s">
        <v>31</v>
      </c>
      <c r="D243" s="8" t="s">
        <v>6</v>
      </c>
      <c r="E243" s="9">
        <v>60</v>
      </c>
      <c r="F243" s="7">
        <v>46109</v>
      </c>
      <c r="G243" s="10">
        <v>18124.599999999999</v>
      </c>
      <c r="H243" s="10">
        <v>2718.69</v>
      </c>
      <c r="I243" s="10">
        <v>20843.29</v>
      </c>
      <c r="J243" s="9" t="s">
        <v>2</v>
      </c>
      <c r="K243" s="7">
        <v>46111</v>
      </c>
      <c r="L243" s="9" t="s">
        <v>3</v>
      </c>
      <c r="M243" s="11" cm="1">
        <f t="array" ref="M243">IF(Invoices[[#This Row],[Status]]="Open",MAX(0,AsOf-Invoices[[#This Row],[Due Date]]),IF(Invoices[[#This Row],[Paid Date]]="","",MAX(0,Invoices[[#This Row],[Paid Date]]-Invoices[[#This Row],[Due Date]])))</f>
        <v>2</v>
      </c>
      <c r="N24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44" spans="1:14" ht="17.100000000000001" customHeight="1" x14ac:dyDescent="0.2">
      <c r="A244" s="6" t="s">
        <v>271</v>
      </c>
      <c r="B244" s="7">
        <v>46049</v>
      </c>
      <c r="C244" s="8" t="s">
        <v>36</v>
      </c>
      <c r="D244" s="8" t="s">
        <v>17</v>
      </c>
      <c r="E244" s="9">
        <v>30</v>
      </c>
      <c r="F244" s="7">
        <v>46079</v>
      </c>
      <c r="G244" s="10">
        <v>2992.08</v>
      </c>
      <c r="H244" s="10">
        <v>448.81</v>
      </c>
      <c r="I244" s="10">
        <v>3440.89</v>
      </c>
      <c r="J244" s="9" t="s">
        <v>2</v>
      </c>
      <c r="K244" s="7">
        <v>46086</v>
      </c>
      <c r="L244" s="9" t="s">
        <v>3</v>
      </c>
      <c r="M244" s="11" cm="1">
        <f t="array" ref="M244">IF(Invoices[[#This Row],[Status]]="Open",MAX(0,AsOf-Invoices[[#This Row],[Due Date]]),IF(Invoices[[#This Row],[Paid Date]]="","",MAX(0,Invoices[[#This Row],[Paid Date]]-Invoices[[#This Row],[Due Date]])))</f>
        <v>7</v>
      </c>
      <c r="N24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45" spans="1:14" ht="17.100000000000001" customHeight="1" x14ac:dyDescent="0.2">
      <c r="A245" s="6" t="s">
        <v>272</v>
      </c>
      <c r="B245" s="7">
        <v>46049</v>
      </c>
      <c r="C245" s="8" t="s">
        <v>31</v>
      </c>
      <c r="D245" s="8" t="s">
        <v>6</v>
      </c>
      <c r="E245" s="9">
        <v>60</v>
      </c>
      <c r="F245" s="7">
        <v>46109</v>
      </c>
      <c r="G245" s="10">
        <v>10980.53</v>
      </c>
      <c r="H245" s="10">
        <v>1647.08</v>
      </c>
      <c r="I245" s="10">
        <v>12627.61</v>
      </c>
      <c r="J245" s="9" t="s">
        <v>2</v>
      </c>
      <c r="K245" s="7">
        <v>46106</v>
      </c>
      <c r="L245" s="9" t="s">
        <v>3</v>
      </c>
      <c r="M245" s="11" cm="1">
        <f t="array" ref="M245">IF(Invoices[[#This Row],[Status]]="Open",MAX(0,AsOf-Invoices[[#This Row],[Due Date]]),IF(Invoices[[#This Row],[Paid Date]]="","",MAX(0,Invoices[[#This Row],[Paid Date]]-Invoices[[#This Row],[Due Date]])))</f>
        <v>0</v>
      </c>
      <c r="N24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46" spans="1:14" ht="17.100000000000001" customHeight="1" x14ac:dyDescent="0.2">
      <c r="A246" s="6" t="s">
        <v>273</v>
      </c>
      <c r="B246" s="7">
        <v>46050</v>
      </c>
      <c r="C246" s="8" t="s">
        <v>31</v>
      </c>
      <c r="D246" s="8" t="s">
        <v>6</v>
      </c>
      <c r="E246" s="9">
        <v>60</v>
      </c>
      <c r="F246" s="7">
        <v>46050</v>
      </c>
      <c r="G246" s="10">
        <v>-3539.66</v>
      </c>
      <c r="H246" s="10">
        <v>-530.95000000000005</v>
      </c>
      <c r="I246" s="10">
        <v>-4070.61</v>
      </c>
      <c r="J246" s="9" t="s">
        <v>111</v>
      </c>
      <c r="K246" s="7"/>
      <c r="L246" s="9" t="s">
        <v>112</v>
      </c>
      <c r="M246" s="11" t="str" cm="1">
        <f t="array" ref="M246">IF(Invoices[[#This Row],[Status]]="Open",MAX(0,AsOf-Invoices[[#This Row],[Due Date]]),IF(Invoices[[#This Row],[Paid Date]]="","",MAX(0,Invoices[[#This Row],[Paid Date]]-Invoices[[#This Row],[Due Date]])))</f>
        <v/>
      </c>
      <c r="N24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47" spans="1:14" ht="17.100000000000001" customHeight="1" x14ac:dyDescent="0.2">
      <c r="A247" s="6" t="s">
        <v>274</v>
      </c>
      <c r="B247" s="7">
        <v>46050</v>
      </c>
      <c r="C247" s="8" t="s">
        <v>24</v>
      </c>
      <c r="D247" s="8" t="s">
        <v>25</v>
      </c>
      <c r="E247" s="9">
        <v>60</v>
      </c>
      <c r="F247" s="7">
        <v>46110</v>
      </c>
      <c r="G247" s="10">
        <v>9860.07</v>
      </c>
      <c r="H247" s="10">
        <v>1479.01</v>
      </c>
      <c r="I247" s="10">
        <v>11339.08</v>
      </c>
      <c r="J247" s="9" t="s">
        <v>2</v>
      </c>
      <c r="K247" s="7">
        <v>46111</v>
      </c>
      <c r="L247" s="9" t="s">
        <v>3</v>
      </c>
      <c r="M247" s="11" cm="1">
        <f t="array" ref="M247">IF(Invoices[[#This Row],[Status]]="Open",MAX(0,AsOf-Invoices[[#This Row],[Due Date]]),IF(Invoices[[#This Row],[Paid Date]]="","",MAX(0,Invoices[[#This Row],[Paid Date]]-Invoices[[#This Row],[Due Date]])))</f>
        <v>1</v>
      </c>
      <c r="N24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48" spans="1:14" ht="17.100000000000001" customHeight="1" x14ac:dyDescent="0.2">
      <c r="A248" s="6" t="s">
        <v>275</v>
      </c>
      <c r="B248" s="7">
        <v>46050</v>
      </c>
      <c r="C248" s="8" t="s">
        <v>13</v>
      </c>
      <c r="D248" s="8" t="s">
        <v>1</v>
      </c>
      <c r="E248" s="9">
        <v>30</v>
      </c>
      <c r="F248" s="7">
        <v>46080</v>
      </c>
      <c r="G248" s="10">
        <v>4955.5600000000004</v>
      </c>
      <c r="H248" s="10">
        <v>743.33</v>
      </c>
      <c r="I248" s="10">
        <v>5698.89</v>
      </c>
      <c r="J248" s="9" t="s">
        <v>2</v>
      </c>
      <c r="K248" s="7">
        <v>46075</v>
      </c>
      <c r="L248" s="9" t="s">
        <v>3</v>
      </c>
      <c r="M248" s="11" cm="1">
        <f t="array" ref="M248">IF(Invoices[[#This Row],[Status]]="Open",MAX(0,AsOf-Invoices[[#This Row],[Due Date]]),IF(Invoices[[#This Row],[Paid Date]]="","",MAX(0,Invoices[[#This Row],[Paid Date]]-Invoices[[#This Row],[Due Date]])))</f>
        <v>0</v>
      </c>
      <c r="N24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49" spans="1:14" ht="17.100000000000001" customHeight="1" x14ac:dyDescent="0.2">
      <c r="A249" s="6" t="s">
        <v>276</v>
      </c>
      <c r="B249" s="7">
        <v>46051</v>
      </c>
      <c r="C249" s="8" t="s">
        <v>8</v>
      </c>
      <c r="D249" s="8" t="s">
        <v>6</v>
      </c>
      <c r="E249" s="9">
        <v>45</v>
      </c>
      <c r="F249" s="7">
        <v>46096</v>
      </c>
      <c r="G249" s="10">
        <v>9993.49</v>
      </c>
      <c r="H249" s="10">
        <v>1499.02</v>
      </c>
      <c r="I249" s="10">
        <v>11492.51</v>
      </c>
      <c r="J249" s="9" t="s">
        <v>2</v>
      </c>
      <c r="K249" s="7">
        <v>46097</v>
      </c>
      <c r="L249" s="9" t="s">
        <v>3</v>
      </c>
      <c r="M249" s="11" cm="1">
        <f t="array" ref="M249">IF(Invoices[[#This Row],[Status]]="Open",MAX(0,AsOf-Invoices[[#This Row],[Due Date]]),IF(Invoices[[#This Row],[Paid Date]]="","",MAX(0,Invoices[[#This Row],[Paid Date]]-Invoices[[#This Row],[Due Date]])))</f>
        <v>1</v>
      </c>
      <c r="N24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50" spans="1:14" ht="17.100000000000001" customHeight="1" x14ac:dyDescent="0.2">
      <c r="A250" s="6" t="s">
        <v>277</v>
      </c>
      <c r="B250" s="7">
        <v>46051</v>
      </c>
      <c r="C250" s="8" t="s">
        <v>16</v>
      </c>
      <c r="D250" s="8" t="s">
        <v>17</v>
      </c>
      <c r="E250" s="9">
        <v>30</v>
      </c>
      <c r="F250" s="7">
        <v>46081</v>
      </c>
      <c r="G250" s="10">
        <v>3214.38</v>
      </c>
      <c r="H250" s="10">
        <v>482.16</v>
      </c>
      <c r="I250" s="10">
        <v>3696.54</v>
      </c>
      <c r="J250" s="9" t="s">
        <v>2</v>
      </c>
      <c r="K250" s="7">
        <v>46092</v>
      </c>
      <c r="L250" s="9" t="s">
        <v>3</v>
      </c>
      <c r="M250" s="11" cm="1">
        <f t="array" ref="M250">IF(Invoices[[#This Row],[Status]]="Open",MAX(0,AsOf-Invoices[[#This Row],[Due Date]]),IF(Invoices[[#This Row],[Paid Date]]="","",MAX(0,Invoices[[#This Row],[Paid Date]]-Invoices[[#This Row],[Due Date]])))</f>
        <v>11</v>
      </c>
      <c r="N25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51" spans="1:14" ht="17.100000000000001" customHeight="1" x14ac:dyDescent="0.2">
      <c r="A251" s="6" t="s">
        <v>278</v>
      </c>
      <c r="B251" s="7">
        <v>46054</v>
      </c>
      <c r="C251" s="8" t="s">
        <v>66</v>
      </c>
      <c r="D251" s="8" t="s">
        <v>62</v>
      </c>
      <c r="E251" s="9">
        <v>15</v>
      </c>
      <c r="F251" s="7">
        <v>46069</v>
      </c>
      <c r="G251" s="10">
        <v>1016.11</v>
      </c>
      <c r="H251" s="10">
        <v>152.41999999999999</v>
      </c>
      <c r="I251" s="10">
        <v>1168.53</v>
      </c>
      <c r="J251" s="9" t="s">
        <v>2</v>
      </c>
      <c r="K251" s="7">
        <v>46077</v>
      </c>
      <c r="L251" s="9" t="s">
        <v>3</v>
      </c>
      <c r="M251" s="11" cm="1">
        <f t="array" ref="M251">IF(Invoices[[#This Row],[Status]]="Open",MAX(0,AsOf-Invoices[[#This Row],[Due Date]]),IF(Invoices[[#This Row],[Paid Date]]="","",MAX(0,Invoices[[#This Row],[Paid Date]]-Invoices[[#This Row],[Due Date]])))</f>
        <v>8</v>
      </c>
      <c r="N25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52" spans="1:14" ht="17.100000000000001" customHeight="1" x14ac:dyDescent="0.2">
      <c r="A252" s="6" t="s">
        <v>279</v>
      </c>
      <c r="B252" s="7">
        <v>46054</v>
      </c>
      <c r="C252" s="8" t="s">
        <v>16</v>
      </c>
      <c r="D252" s="8" t="s">
        <v>17</v>
      </c>
      <c r="E252" s="9">
        <v>30</v>
      </c>
      <c r="F252" s="7">
        <v>46084</v>
      </c>
      <c r="G252" s="10">
        <v>2262.5300000000002</v>
      </c>
      <c r="H252" s="10">
        <v>339.38</v>
      </c>
      <c r="I252" s="10">
        <v>2601.91</v>
      </c>
      <c r="J252" s="9" t="s">
        <v>2</v>
      </c>
      <c r="K252" s="7">
        <v>46088</v>
      </c>
      <c r="L252" s="9" t="s">
        <v>3</v>
      </c>
      <c r="M252" s="11" cm="1">
        <f t="array" ref="M252">IF(Invoices[[#This Row],[Status]]="Open",MAX(0,AsOf-Invoices[[#This Row],[Due Date]]),IF(Invoices[[#This Row],[Paid Date]]="","",MAX(0,Invoices[[#This Row],[Paid Date]]-Invoices[[#This Row],[Due Date]])))</f>
        <v>4</v>
      </c>
      <c r="N25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53" spans="1:14" ht="17.100000000000001" customHeight="1" x14ac:dyDescent="0.2">
      <c r="A253" s="6" t="s">
        <v>280</v>
      </c>
      <c r="B253" s="7">
        <v>46054</v>
      </c>
      <c r="C253" s="8" t="s">
        <v>5</v>
      </c>
      <c r="D253" s="8" t="s">
        <v>6</v>
      </c>
      <c r="E253" s="9">
        <v>45</v>
      </c>
      <c r="F253" s="7">
        <v>46099</v>
      </c>
      <c r="G253" s="10">
        <v>9426.1299999999992</v>
      </c>
      <c r="H253" s="10">
        <v>1413.92</v>
      </c>
      <c r="I253" s="10">
        <v>10840.05</v>
      </c>
      <c r="J253" s="9" t="s">
        <v>2</v>
      </c>
      <c r="K253" s="7">
        <v>46095</v>
      </c>
      <c r="L253" s="9" t="s">
        <v>3</v>
      </c>
      <c r="M253" s="11" cm="1">
        <f t="array" ref="M253">IF(Invoices[[#This Row],[Status]]="Open",MAX(0,AsOf-Invoices[[#This Row],[Due Date]]),IF(Invoices[[#This Row],[Paid Date]]="","",MAX(0,Invoices[[#This Row],[Paid Date]]-Invoices[[#This Row],[Due Date]])))</f>
        <v>0</v>
      </c>
      <c r="N25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54" spans="1:14" ht="17.100000000000001" customHeight="1" x14ac:dyDescent="0.2">
      <c r="A254" s="6" t="s">
        <v>281</v>
      </c>
      <c r="B254" s="7">
        <v>46054</v>
      </c>
      <c r="C254" s="8" t="s">
        <v>8</v>
      </c>
      <c r="D254" s="8" t="s">
        <v>6</v>
      </c>
      <c r="E254" s="9">
        <v>45</v>
      </c>
      <c r="F254" s="7">
        <v>46099</v>
      </c>
      <c r="G254" s="10">
        <v>8521.07</v>
      </c>
      <c r="H254" s="10">
        <v>1278.1600000000001</v>
      </c>
      <c r="I254" s="10">
        <v>9799.23</v>
      </c>
      <c r="J254" s="9" t="s">
        <v>2</v>
      </c>
      <c r="K254" s="7">
        <v>46097</v>
      </c>
      <c r="L254" s="9" t="s">
        <v>3</v>
      </c>
      <c r="M254" s="11" cm="1">
        <f t="array" ref="M254">IF(Invoices[[#This Row],[Status]]="Open",MAX(0,AsOf-Invoices[[#This Row],[Due Date]]),IF(Invoices[[#This Row],[Paid Date]]="","",MAX(0,Invoices[[#This Row],[Paid Date]]-Invoices[[#This Row],[Due Date]])))</f>
        <v>0</v>
      </c>
      <c r="N25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55" spans="1:14" ht="17.100000000000001" customHeight="1" x14ac:dyDescent="0.2">
      <c r="A255" s="6" t="s">
        <v>282</v>
      </c>
      <c r="B255" s="7">
        <v>46054</v>
      </c>
      <c r="C255" s="8" t="s">
        <v>66</v>
      </c>
      <c r="D255" s="8" t="s">
        <v>62</v>
      </c>
      <c r="E255" s="9">
        <v>15</v>
      </c>
      <c r="F255" s="7">
        <v>46069</v>
      </c>
      <c r="G255" s="10">
        <v>905.98</v>
      </c>
      <c r="H255" s="10">
        <v>135.9</v>
      </c>
      <c r="I255" s="10">
        <v>1041.8800000000001</v>
      </c>
      <c r="J255" s="9" t="s">
        <v>2</v>
      </c>
      <c r="K255" s="7">
        <v>46073</v>
      </c>
      <c r="L255" s="9" t="s">
        <v>3</v>
      </c>
      <c r="M255" s="11" cm="1">
        <f t="array" ref="M255">IF(Invoices[[#This Row],[Status]]="Open",MAX(0,AsOf-Invoices[[#This Row],[Due Date]]),IF(Invoices[[#This Row],[Paid Date]]="","",MAX(0,Invoices[[#This Row],[Paid Date]]-Invoices[[#This Row],[Due Date]])))</f>
        <v>4</v>
      </c>
      <c r="N25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56" spans="1:14" ht="17.100000000000001" customHeight="1" x14ac:dyDescent="0.2">
      <c r="A256" s="6" t="s">
        <v>283</v>
      </c>
      <c r="B256" s="7">
        <v>46054</v>
      </c>
      <c r="C256" s="8" t="s">
        <v>20</v>
      </c>
      <c r="D256" s="8" t="s">
        <v>21</v>
      </c>
      <c r="E256" s="9">
        <v>30</v>
      </c>
      <c r="F256" s="7">
        <v>46084</v>
      </c>
      <c r="G256" s="10">
        <v>3948.11</v>
      </c>
      <c r="H256" s="10">
        <v>592.22</v>
      </c>
      <c r="I256" s="10">
        <v>4540.33</v>
      </c>
      <c r="J256" s="9" t="s">
        <v>2</v>
      </c>
      <c r="K256" s="7">
        <v>46081</v>
      </c>
      <c r="L256" s="9" t="s">
        <v>3</v>
      </c>
      <c r="M256" s="11" cm="1">
        <f t="array" ref="M256">IF(Invoices[[#This Row],[Status]]="Open",MAX(0,AsOf-Invoices[[#This Row],[Due Date]]),IF(Invoices[[#This Row],[Paid Date]]="","",MAX(0,Invoices[[#This Row],[Paid Date]]-Invoices[[#This Row],[Due Date]])))</f>
        <v>0</v>
      </c>
      <c r="N25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57" spans="1:14" ht="17.100000000000001" customHeight="1" x14ac:dyDescent="0.2">
      <c r="A257" s="6" t="s">
        <v>284</v>
      </c>
      <c r="B257" s="7">
        <v>46054</v>
      </c>
      <c r="C257" s="8" t="s">
        <v>45</v>
      </c>
      <c r="D257" s="8" t="s">
        <v>17</v>
      </c>
      <c r="E257" s="9">
        <v>30</v>
      </c>
      <c r="F257" s="7">
        <v>46084</v>
      </c>
      <c r="G257" s="10">
        <v>2034.4</v>
      </c>
      <c r="H257" s="10">
        <v>305.16000000000003</v>
      </c>
      <c r="I257" s="10">
        <v>2339.56</v>
      </c>
      <c r="J257" s="9" t="s">
        <v>2</v>
      </c>
      <c r="K257" s="7">
        <v>46086</v>
      </c>
      <c r="L257" s="9" t="s">
        <v>3</v>
      </c>
      <c r="M257" s="11" cm="1">
        <f t="array" ref="M257">IF(Invoices[[#This Row],[Status]]="Open",MAX(0,AsOf-Invoices[[#This Row],[Due Date]]),IF(Invoices[[#This Row],[Paid Date]]="","",MAX(0,Invoices[[#This Row],[Paid Date]]-Invoices[[#This Row],[Due Date]])))</f>
        <v>2</v>
      </c>
      <c r="N25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58" spans="1:14" ht="17.100000000000001" customHeight="1" x14ac:dyDescent="0.2">
      <c r="A258" s="6" t="s">
        <v>285</v>
      </c>
      <c r="B258" s="7">
        <v>46054</v>
      </c>
      <c r="C258" s="8" t="s">
        <v>34</v>
      </c>
      <c r="D258" s="8" t="s">
        <v>21</v>
      </c>
      <c r="E258" s="9">
        <v>30</v>
      </c>
      <c r="F258" s="7">
        <v>46084</v>
      </c>
      <c r="G258" s="10">
        <v>3341</v>
      </c>
      <c r="H258" s="10">
        <v>501.15</v>
      </c>
      <c r="I258" s="10">
        <v>3842.15</v>
      </c>
      <c r="J258" s="9" t="s">
        <v>2</v>
      </c>
      <c r="K258" s="7">
        <v>46171</v>
      </c>
      <c r="L258" s="9" t="s">
        <v>3</v>
      </c>
      <c r="M258" s="11" cm="1">
        <f t="array" ref="M258">IF(Invoices[[#This Row],[Status]]="Open",MAX(0,AsOf-Invoices[[#This Row],[Due Date]]),IF(Invoices[[#This Row],[Paid Date]]="","",MAX(0,Invoices[[#This Row],[Paid Date]]-Invoices[[#This Row],[Due Date]])))</f>
        <v>87</v>
      </c>
      <c r="N25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59" spans="1:14" ht="17.100000000000001" customHeight="1" x14ac:dyDescent="0.2">
      <c r="A259" s="6" t="s">
        <v>286</v>
      </c>
      <c r="B259" s="7">
        <v>46054</v>
      </c>
      <c r="C259" s="8" t="s">
        <v>5</v>
      </c>
      <c r="D259" s="8" t="s">
        <v>6</v>
      </c>
      <c r="E259" s="9">
        <v>45</v>
      </c>
      <c r="F259" s="7">
        <v>46099</v>
      </c>
      <c r="G259" s="10">
        <v>19012.45</v>
      </c>
      <c r="H259" s="10">
        <v>2851.87</v>
      </c>
      <c r="I259" s="10">
        <v>21864.32</v>
      </c>
      <c r="J259" s="9" t="s">
        <v>2</v>
      </c>
      <c r="K259" s="7">
        <v>46102</v>
      </c>
      <c r="L259" s="9" t="s">
        <v>3</v>
      </c>
      <c r="M259" s="11" cm="1">
        <f t="array" ref="M259">IF(Invoices[[#This Row],[Status]]="Open",MAX(0,AsOf-Invoices[[#This Row],[Due Date]]),IF(Invoices[[#This Row],[Paid Date]]="","",MAX(0,Invoices[[#This Row],[Paid Date]]-Invoices[[#This Row],[Due Date]])))</f>
        <v>3</v>
      </c>
      <c r="N25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60" spans="1:14" ht="17.100000000000001" customHeight="1" x14ac:dyDescent="0.2">
      <c r="A260" s="6" t="s">
        <v>287</v>
      </c>
      <c r="B260" s="7">
        <v>46055</v>
      </c>
      <c r="C260" s="8" t="s">
        <v>5</v>
      </c>
      <c r="D260" s="8" t="s">
        <v>6</v>
      </c>
      <c r="E260" s="9">
        <v>45</v>
      </c>
      <c r="F260" s="7">
        <v>46100</v>
      </c>
      <c r="G260" s="10">
        <v>5031.7299999999996</v>
      </c>
      <c r="H260" s="10">
        <v>754.76</v>
      </c>
      <c r="I260" s="10">
        <v>5786.49</v>
      </c>
      <c r="J260" s="9" t="s">
        <v>2</v>
      </c>
      <c r="K260" s="7">
        <v>46099</v>
      </c>
      <c r="L260" s="9" t="s">
        <v>3</v>
      </c>
      <c r="M260" s="11" cm="1">
        <f t="array" ref="M260">IF(Invoices[[#This Row],[Status]]="Open",MAX(0,AsOf-Invoices[[#This Row],[Due Date]]),IF(Invoices[[#This Row],[Paid Date]]="","",MAX(0,Invoices[[#This Row],[Paid Date]]-Invoices[[#This Row],[Due Date]])))</f>
        <v>0</v>
      </c>
      <c r="N26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61" spans="1:14" ht="17.100000000000001" customHeight="1" x14ac:dyDescent="0.2">
      <c r="A261" s="6" t="s">
        <v>288</v>
      </c>
      <c r="B261" s="7">
        <v>46055</v>
      </c>
      <c r="C261" s="8" t="s">
        <v>13</v>
      </c>
      <c r="D261" s="8" t="s">
        <v>1</v>
      </c>
      <c r="E261" s="9">
        <v>30</v>
      </c>
      <c r="F261" s="7">
        <v>46085</v>
      </c>
      <c r="G261" s="10">
        <v>3002.58</v>
      </c>
      <c r="H261" s="10">
        <v>450.39</v>
      </c>
      <c r="I261" s="10">
        <v>3452.97</v>
      </c>
      <c r="J261" s="9" t="s">
        <v>2</v>
      </c>
      <c r="K261" s="7">
        <v>46086</v>
      </c>
      <c r="L261" s="9" t="s">
        <v>3</v>
      </c>
      <c r="M261" s="11" cm="1">
        <f t="array" ref="M261">IF(Invoices[[#This Row],[Status]]="Open",MAX(0,AsOf-Invoices[[#This Row],[Due Date]]),IF(Invoices[[#This Row],[Paid Date]]="","",MAX(0,Invoices[[#This Row],[Paid Date]]-Invoices[[#This Row],[Due Date]])))</f>
        <v>1</v>
      </c>
      <c r="N26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62" spans="1:14" ht="17.100000000000001" customHeight="1" x14ac:dyDescent="0.2">
      <c r="A262" s="6" t="s">
        <v>289</v>
      </c>
      <c r="B262" s="7">
        <v>46055</v>
      </c>
      <c r="C262" s="8" t="s">
        <v>13</v>
      </c>
      <c r="D262" s="8" t="s">
        <v>1</v>
      </c>
      <c r="E262" s="9">
        <v>30</v>
      </c>
      <c r="F262" s="7">
        <v>46085</v>
      </c>
      <c r="G262" s="10">
        <v>4056.17</v>
      </c>
      <c r="H262" s="10">
        <v>608.42999999999995</v>
      </c>
      <c r="I262" s="10">
        <v>4664.6000000000004</v>
      </c>
      <c r="J262" s="9" t="s">
        <v>2</v>
      </c>
      <c r="K262" s="7">
        <v>46085</v>
      </c>
      <c r="L262" s="9" t="s">
        <v>3</v>
      </c>
      <c r="M262" s="11" cm="1">
        <f t="array" ref="M262">IF(Invoices[[#This Row],[Status]]="Open",MAX(0,AsOf-Invoices[[#This Row],[Due Date]]),IF(Invoices[[#This Row],[Paid Date]]="","",MAX(0,Invoices[[#This Row],[Paid Date]]-Invoices[[#This Row],[Due Date]])))</f>
        <v>0</v>
      </c>
      <c r="N26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63" spans="1:14" ht="17.100000000000001" customHeight="1" x14ac:dyDescent="0.2">
      <c r="A263" s="6" t="s">
        <v>290</v>
      </c>
      <c r="B263" s="7">
        <v>46056</v>
      </c>
      <c r="C263" s="8" t="s">
        <v>54</v>
      </c>
      <c r="D263" s="8" t="s">
        <v>11</v>
      </c>
      <c r="E263" s="9">
        <v>30</v>
      </c>
      <c r="F263" s="7">
        <v>46086</v>
      </c>
      <c r="G263" s="10">
        <v>5140.4399999999996</v>
      </c>
      <c r="H263" s="10">
        <v>771.07</v>
      </c>
      <c r="I263" s="10">
        <v>5911.51</v>
      </c>
      <c r="J263" s="9" t="s">
        <v>2</v>
      </c>
      <c r="K263" s="7">
        <v>46088</v>
      </c>
      <c r="L263" s="9" t="s">
        <v>3</v>
      </c>
      <c r="M263" s="11" cm="1">
        <f t="array" ref="M263">IF(Invoices[[#This Row],[Status]]="Open",MAX(0,AsOf-Invoices[[#This Row],[Due Date]]),IF(Invoices[[#This Row],[Paid Date]]="","",MAX(0,Invoices[[#This Row],[Paid Date]]-Invoices[[#This Row],[Due Date]])))</f>
        <v>2</v>
      </c>
      <c r="N26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64" spans="1:14" ht="17.100000000000001" customHeight="1" x14ac:dyDescent="0.2">
      <c r="A264" s="6" t="s">
        <v>291</v>
      </c>
      <c r="B264" s="7">
        <v>46056</v>
      </c>
      <c r="C264" s="8" t="s">
        <v>31</v>
      </c>
      <c r="D264" s="8" t="s">
        <v>6</v>
      </c>
      <c r="E264" s="9">
        <v>60</v>
      </c>
      <c r="F264" s="7">
        <v>46116</v>
      </c>
      <c r="G264" s="10">
        <v>7963.14</v>
      </c>
      <c r="H264" s="10">
        <v>1194.47</v>
      </c>
      <c r="I264" s="10">
        <v>9157.61</v>
      </c>
      <c r="J264" s="9" t="s">
        <v>2</v>
      </c>
      <c r="K264" s="7">
        <v>46123</v>
      </c>
      <c r="L264" s="9" t="s">
        <v>3</v>
      </c>
      <c r="M264" s="11" cm="1">
        <f t="array" ref="M264">IF(Invoices[[#This Row],[Status]]="Open",MAX(0,AsOf-Invoices[[#This Row],[Due Date]]),IF(Invoices[[#This Row],[Paid Date]]="","",MAX(0,Invoices[[#This Row],[Paid Date]]-Invoices[[#This Row],[Due Date]])))</f>
        <v>7</v>
      </c>
      <c r="N26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65" spans="1:14" ht="17.100000000000001" customHeight="1" x14ac:dyDescent="0.2">
      <c r="A265" s="6" t="s">
        <v>292</v>
      </c>
      <c r="B265" s="7">
        <v>46057</v>
      </c>
      <c r="C265" s="8" t="s">
        <v>36</v>
      </c>
      <c r="D265" s="8" t="s">
        <v>17</v>
      </c>
      <c r="E265" s="9">
        <v>30</v>
      </c>
      <c r="F265" s="7">
        <v>46087</v>
      </c>
      <c r="G265" s="10">
        <v>2786.07</v>
      </c>
      <c r="H265" s="10">
        <v>417.91</v>
      </c>
      <c r="I265" s="10">
        <v>3203.98</v>
      </c>
      <c r="J265" s="9" t="s">
        <v>2</v>
      </c>
      <c r="K265" s="7">
        <v>46102</v>
      </c>
      <c r="L265" s="9" t="s">
        <v>3</v>
      </c>
      <c r="M265" s="11" cm="1">
        <f t="array" ref="M265">IF(Invoices[[#This Row],[Status]]="Open",MAX(0,AsOf-Invoices[[#This Row],[Due Date]]),IF(Invoices[[#This Row],[Paid Date]]="","",MAX(0,Invoices[[#This Row],[Paid Date]]-Invoices[[#This Row],[Due Date]])))</f>
        <v>15</v>
      </c>
      <c r="N26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66" spans="1:14" ht="17.100000000000001" customHeight="1" x14ac:dyDescent="0.2">
      <c r="A266" s="6" t="s">
        <v>293</v>
      </c>
      <c r="B266" s="7">
        <v>46057</v>
      </c>
      <c r="C266" s="8" t="s">
        <v>31</v>
      </c>
      <c r="D266" s="8" t="s">
        <v>6</v>
      </c>
      <c r="E266" s="9">
        <v>60</v>
      </c>
      <c r="F266" s="7">
        <v>46117</v>
      </c>
      <c r="G266" s="10">
        <v>13682.02</v>
      </c>
      <c r="H266" s="10">
        <v>2052.3000000000002</v>
      </c>
      <c r="I266" s="10">
        <v>15734.32</v>
      </c>
      <c r="J266" s="9" t="s">
        <v>2</v>
      </c>
      <c r="K266" s="7">
        <v>46119</v>
      </c>
      <c r="L266" s="9" t="s">
        <v>3</v>
      </c>
      <c r="M266" s="11" cm="1">
        <f t="array" ref="M266">IF(Invoices[[#This Row],[Status]]="Open",MAX(0,AsOf-Invoices[[#This Row],[Due Date]]),IF(Invoices[[#This Row],[Paid Date]]="","",MAX(0,Invoices[[#This Row],[Paid Date]]-Invoices[[#This Row],[Due Date]])))</f>
        <v>2</v>
      </c>
      <c r="N26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67" spans="1:14" ht="17.100000000000001" customHeight="1" x14ac:dyDescent="0.2">
      <c r="A267" s="6" t="s">
        <v>294</v>
      </c>
      <c r="B267" s="7">
        <v>46057</v>
      </c>
      <c r="C267" s="8" t="s">
        <v>8</v>
      </c>
      <c r="D267" s="8" t="s">
        <v>6</v>
      </c>
      <c r="E267" s="9">
        <v>45</v>
      </c>
      <c r="F267" s="7">
        <v>46102</v>
      </c>
      <c r="G267" s="10">
        <v>6208.43</v>
      </c>
      <c r="H267" s="10">
        <v>931.26</v>
      </c>
      <c r="I267" s="10">
        <v>7139.69</v>
      </c>
      <c r="J267" s="9" t="s">
        <v>2</v>
      </c>
      <c r="K267" s="7">
        <v>46106</v>
      </c>
      <c r="L267" s="9" t="s">
        <v>3</v>
      </c>
      <c r="M267" s="11" cm="1">
        <f t="array" ref="M267">IF(Invoices[[#This Row],[Status]]="Open",MAX(0,AsOf-Invoices[[#This Row],[Due Date]]),IF(Invoices[[#This Row],[Paid Date]]="","",MAX(0,Invoices[[#This Row],[Paid Date]]-Invoices[[#This Row],[Due Date]])))</f>
        <v>4</v>
      </c>
      <c r="N26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68" spans="1:14" ht="17.100000000000001" customHeight="1" x14ac:dyDescent="0.2">
      <c r="A268" s="6" t="s">
        <v>295</v>
      </c>
      <c r="B268" s="7">
        <v>46058</v>
      </c>
      <c r="C268" s="8" t="s">
        <v>31</v>
      </c>
      <c r="D268" s="8" t="s">
        <v>6</v>
      </c>
      <c r="E268" s="9">
        <v>60</v>
      </c>
      <c r="F268" s="7">
        <v>46118</v>
      </c>
      <c r="G268" s="10">
        <v>10988.34</v>
      </c>
      <c r="H268" s="10">
        <v>1648.25</v>
      </c>
      <c r="I268" s="10">
        <v>12636.59</v>
      </c>
      <c r="J268" s="9" t="s">
        <v>2</v>
      </c>
      <c r="K268" s="7">
        <v>46120</v>
      </c>
      <c r="L268" s="9" t="s">
        <v>3</v>
      </c>
      <c r="M268" s="11" cm="1">
        <f t="array" ref="M268">IF(Invoices[[#This Row],[Status]]="Open",MAX(0,AsOf-Invoices[[#This Row],[Due Date]]),IF(Invoices[[#This Row],[Paid Date]]="","",MAX(0,Invoices[[#This Row],[Paid Date]]-Invoices[[#This Row],[Due Date]])))</f>
        <v>2</v>
      </c>
      <c r="N26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69" spans="1:14" ht="17.100000000000001" customHeight="1" x14ac:dyDescent="0.2">
      <c r="A269" s="6" t="s">
        <v>296</v>
      </c>
      <c r="B269" s="7">
        <v>46058</v>
      </c>
      <c r="C269" s="8" t="s">
        <v>5</v>
      </c>
      <c r="D269" s="8" t="s">
        <v>6</v>
      </c>
      <c r="E269" s="9">
        <v>45</v>
      </c>
      <c r="F269" s="7">
        <v>46103</v>
      </c>
      <c r="G269" s="10">
        <v>7341.76</v>
      </c>
      <c r="H269" s="10">
        <v>1101.26</v>
      </c>
      <c r="I269" s="10">
        <v>8443.02</v>
      </c>
      <c r="J269" s="9" t="s">
        <v>2</v>
      </c>
      <c r="K269" s="7">
        <v>46101</v>
      </c>
      <c r="L269" s="9" t="s">
        <v>3</v>
      </c>
      <c r="M269" s="11" cm="1">
        <f t="array" ref="M269">IF(Invoices[[#This Row],[Status]]="Open",MAX(0,AsOf-Invoices[[#This Row],[Due Date]]),IF(Invoices[[#This Row],[Paid Date]]="","",MAX(0,Invoices[[#This Row],[Paid Date]]-Invoices[[#This Row],[Due Date]])))</f>
        <v>0</v>
      </c>
      <c r="N26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70" spans="1:14" ht="17.100000000000001" customHeight="1" x14ac:dyDescent="0.2">
      <c r="A270" s="6" t="s">
        <v>297</v>
      </c>
      <c r="B270" s="7">
        <v>46058</v>
      </c>
      <c r="C270" s="8" t="s">
        <v>24</v>
      </c>
      <c r="D270" s="8" t="s">
        <v>25</v>
      </c>
      <c r="E270" s="9">
        <v>60</v>
      </c>
      <c r="F270" s="7">
        <v>46118</v>
      </c>
      <c r="G270" s="10">
        <v>9805.8700000000008</v>
      </c>
      <c r="H270" s="10">
        <v>1470.88</v>
      </c>
      <c r="I270" s="10">
        <v>11276.75</v>
      </c>
      <c r="J270" s="9" t="s">
        <v>2</v>
      </c>
      <c r="K270" s="7">
        <v>46113</v>
      </c>
      <c r="L270" s="9" t="s">
        <v>3</v>
      </c>
      <c r="M270" s="11" cm="1">
        <f t="array" ref="M270">IF(Invoices[[#This Row],[Status]]="Open",MAX(0,AsOf-Invoices[[#This Row],[Due Date]]),IF(Invoices[[#This Row],[Paid Date]]="","",MAX(0,Invoices[[#This Row],[Paid Date]]-Invoices[[#This Row],[Due Date]])))</f>
        <v>0</v>
      </c>
      <c r="N27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71" spans="1:14" ht="17.100000000000001" customHeight="1" x14ac:dyDescent="0.2">
      <c r="A271" s="6" t="s">
        <v>298</v>
      </c>
      <c r="B271" s="7">
        <v>46058</v>
      </c>
      <c r="C271" s="8" t="s">
        <v>10</v>
      </c>
      <c r="D271" s="8" t="s">
        <v>11</v>
      </c>
      <c r="E271" s="9">
        <v>30</v>
      </c>
      <c r="F271" s="7">
        <v>46088</v>
      </c>
      <c r="G271" s="10">
        <v>3796.43</v>
      </c>
      <c r="H271" s="10">
        <v>569.46</v>
      </c>
      <c r="I271" s="10">
        <v>4365.8900000000003</v>
      </c>
      <c r="J271" s="9" t="s">
        <v>2</v>
      </c>
      <c r="K271" s="7">
        <v>46088</v>
      </c>
      <c r="L271" s="9" t="s">
        <v>3</v>
      </c>
      <c r="M271" s="11" cm="1">
        <f t="array" ref="M271">IF(Invoices[[#This Row],[Status]]="Open",MAX(0,AsOf-Invoices[[#This Row],[Due Date]]),IF(Invoices[[#This Row],[Paid Date]]="","",MAX(0,Invoices[[#This Row],[Paid Date]]-Invoices[[#This Row],[Due Date]])))</f>
        <v>0</v>
      </c>
      <c r="N27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72" spans="1:14" ht="17.100000000000001" customHeight="1" x14ac:dyDescent="0.2">
      <c r="A272" s="6" t="s">
        <v>299</v>
      </c>
      <c r="B272" s="7">
        <v>46061</v>
      </c>
      <c r="C272" s="8" t="s">
        <v>54</v>
      </c>
      <c r="D272" s="8" t="s">
        <v>11</v>
      </c>
      <c r="E272" s="9">
        <v>30</v>
      </c>
      <c r="F272" s="7">
        <v>46091</v>
      </c>
      <c r="G272" s="10">
        <v>9618.24</v>
      </c>
      <c r="H272" s="10">
        <v>1442.74</v>
      </c>
      <c r="I272" s="10">
        <v>11060.98</v>
      </c>
      <c r="J272" s="9" t="s">
        <v>2</v>
      </c>
      <c r="K272" s="7">
        <v>46098</v>
      </c>
      <c r="L272" s="9" t="s">
        <v>3</v>
      </c>
      <c r="M272" s="11" cm="1">
        <f t="array" ref="M272">IF(Invoices[[#This Row],[Status]]="Open",MAX(0,AsOf-Invoices[[#This Row],[Due Date]]),IF(Invoices[[#This Row],[Paid Date]]="","",MAX(0,Invoices[[#This Row],[Paid Date]]-Invoices[[#This Row],[Due Date]])))</f>
        <v>7</v>
      </c>
      <c r="N27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73" spans="1:14" ht="17.100000000000001" customHeight="1" x14ac:dyDescent="0.2">
      <c r="A273" s="6" t="s">
        <v>300</v>
      </c>
      <c r="B273" s="7">
        <v>46061</v>
      </c>
      <c r="C273" s="8" t="s">
        <v>5</v>
      </c>
      <c r="D273" s="8" t="s">
        <v>6</v>
      </c>
      <c r="E273" s="9">
        <v>45</v>
      </c>
      <c r="F273" s="7">
        <v>46106</v>
      </c>
      <c r="G273" s="10">
        <v>28112.16</v>
      </c>
      <c r="H273" s="10">
        <v>4216.82</v>
      </c>
      <c r="I273" s="10">
        <v>32328.98</v>
      </c>
      <c r="J273" s="9" t="s">
        <v>2</v>
      </c>
      <c r="K273" s="7">
        <v>46112</v>
      </c>
      <c r="L273" s="9" t="s">
        <v>3</v>
      </c>
      <c r="M273" s="11" cm="1">
        <f t="array" ref="M273">IF(Invoices[[#This Row],[Status]]="Open",MAX(0,AsOf-Invoices[[#This Row],[Due Date]]),IF(Invoices[[#This Row],[Paid Date]]="","",MAX(0,Invoices[[#This Row],[Paid Date]]-Invoices[[#This Row],[Due Date]])))</f>
        <v>6</v>
      </c>
      <c r="N27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74" spans="1:14" ht="17.100000000000001" customHeight="1" x14ac:dyDescent="0.2">
      <c r="A274" s="6" t="s">
        <v>301</v>
      </c>
      <c r="B274" s="7">
        <v>46062</v>
      </c>
      <c r="C274" s="8" t="s">
        <v>10</v>
      </c>
      <c r="D274" s="8" t="s">
        <v>11</v>
      </c>
      <c r="E274" s="9">
        <v>30</v>
      </c>
      <c r="F274" s="7">
        <v>46092</v>
      </c>
      <c r="G274" s="10">
        <v>4252.01</v>
      </c>
      <c r="H274" s="10">
        <v>637.79999999999995</v>
      </c>
      <c r="I274" s="10">
        <v>4889.8100000000004</v>
      </c>
      <c r="J274" s="9" t="s">
        <v>2</v>
      </c>
      <c r="K274" s="7">
        <v>46095</v>
      </c>
      <c r="L274" s="9" t="s">
        <v>3</v>
      </c>
      <c r="M274" s="11" cm="1">
        <f t="array" ref="M274">IF(Invoices[[#This Row],[Status]]="Open",MAX(0,AsOf-Invoices[[#This Row],[Due Date]]),IF(Invoices[[#This Row],[Paid Date]]="","",MAX(0,Invoices[[#This Row],[Paid Date]]-Invoices[[#This Row],[Due Date]])))</f>
        <v>3</v>
      </c>
      <c r="N27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75" spans="1:14" ht="17.100000000000001" customHeight="1" x14ac:dyDescent="0.2">
      <c r="A275" s="6" t="s">
        <v>302</v>
      </c>
      <c r="B275" s="7">
        <v>46063</v>
      </c>
      <c r="C275" s="8" t="s">
        <v>69</v>
      </c>
      <c r="D275" s="8" t="s">
        <v>6</v>
      </c>
      <c r="E275" s="9">
        <v>45</v>
      </c>
      <c r="F275" s="7">
        <v>46108</v>
      </c>
      <c r="G275" s="10">
        <v>7876.59</v>
      </c>
      <c r="H275" s="10">
        <v>1181.49</v>
      </c>
      <c r="I275" s="10">
        <v>9058.08</v>
      </c>
      <c r="J275" s="9" t="s">
        <v>2</v>
      </c>
      <c r="K275" s="7">
        <v>46111</v>
      </c>
      <c r="L275" s="9" t="s">
        <v>3</v>
      </c>
      <c r="M275" s="11" cm="1">
        <f t="array" ref="M275">IF(Invoices[[#This Row],[Status]]="Open",MAX(0,AsOf-Invoices[[#This Row],[Due Date]]),IF(Invoices[[#This Row],[Paid Date]]="","",MAX(0,Invoices[[#This Row],[Paid Date]]-Invoices[[#This Row],[Due Date]])))</f>
        <v>3</v>
      </c>
      <c r="N27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76" spans="1:14" ht="17.100000000000001" customHeight="1" x14ac:dyDescent="0.2">
      <c r="A276" s="6" t="s">
        <v>303</v>
      </c>
      <c r="B276" s="7">
        <v>46063</v>
      </c>
      <c r="C276" s="8" t="s">
        <v>10</v>
      </c>
      <c r="D276" s="8" t="s">
        <v>11</v>
      </c>
      <c r="E276" s="9">
        <v>30</v>
      </c>
      <c r="F276" s="7">
        <v>46093</v>
      </c>
      <c r="G276" s="10">
        <v>2877.16</v>
      </c>
      <c r="H276" s="10">
        <v>431.57</v>
      </c>
      <c r="I276" s="10">
        <v>3308.73</v>
      </c>
      <c r="J276" s="9" t="s">
        <v>2</v>
      </c>
      <c r="K276" s="7">
        <v>46093</v>
      </c>
      <c r="L276" s="9" t="s">
        <v>3</v>
      </c>
      <c r="M276" s="11" cm="1">
        <f t="array" ref="M276">IF(Invoices[[#This Row],[Status]]="Open",MAX(0,AsOf-Invoices[[#This Row],[Due Date]]),IF(Invoices[[#This Row],[Paid Date]]="","",MAX(0,Invoices[[#This Row],[Paid Date]]-Invoices[[#This Row],[Due Date]])))</f>
        <v>0</v>
      </c>
      <c r="N27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77" spans="1:14" ht="17.100000000000001" customHeight="1" x14ac:dyDescent="0.2">
      <c r="A277" s="6" t="s">
        <v>304</v>
      </c>
      <c r="B277" s="7">
        <v>46063</v>
      </c>
      <c r="C277" s="8" t="s">
        <v>31</v>
      </c>
      <c r="D277" s="8" t="s">
        <v>6</v>
      </c>
      <c r="E277" s="9">
        <v>60</v>
      </c>
      <c r="F277" s="7">
        <v>46123</v>
      </c>
      <c r="G277" s="10">
        <v>5132.76</v>
      </c>
      <c r="H277" s="10">
        <v>769.91</v>
      </c>
      <c r="I277" s="10">
        <v>5902.67</v>
      </c>
      <c r="J277" s="9" t="s">
        <v>2</v>
      </c>
      <c r="K277" s="7">
        <v>46123</v>
      </c>
      <c r="L277" s="9" t="s">
        <v>3</v>
      </c>
      <c r="M277" s="11" cm="1">
        <f t="array" ref="M277">IF(Invoices[[#This Row],[Status]]="Open",MAX(0,AsOf-Invoices[[#This Row],[Due Date]]),IF(Invoices[[#This Row],[Paid Date]]="","",MAX(0,Invoices[[#This Row],[Paid Date]]-Invoices[[#This Row],[Due Date]])))</f>
        <v>0</v>
      </c>
      <c r="N27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78" spans="1:14" ht="17.100000000000001" customHeight="1" x14ac:dyDescent="0.2">
      <c r="A278" s="6" t="s">
        <v>305</v>
      </c>
      <c r="B278" s="7">
        <v>46063</v>
      </c>
      <c r="C278" s="8" t="s">
        <v>24</v>
      </c>
      <c r="D278" s="8" t="s">
        <v>25</v>
      </c>
      <c r="E278" s="9">
        <v>60</v>
      </c>
      <c r="F278" s="7">
        <v>46123</v>
      </c>
      <c r="G278" s="10">
        <v>8435.08</v>
      </c>
      <c r="H278" s="10">
        <v>1265.26</v>
      </c>
      <c r="I278" s="10">
        <v>9700.34</v>
      </c>
      <c r="J278" s="9" t="s">
        <v>2</v>
      </c>
      <c r="K278" s="7">
        <v>46120</v>
      </c>
      <c r="L278" s="9" t="s">
        <v>3</v>
      </c>
      <c r="M278" s="11" cm="1">
        <f t="array" ref="M278">IF(Invoices[[#This Row],[Status]]="Open",MAX(0,AsOf-Invoices[[#This Row],[Due Date]]),IF(Invoices[[#This Row],[Paid Date]]="","",MAX(0,Invoices[[#This Row],[Paid Date]]-Invoices[[#This Row],[Due Date]])))</f>
        <v>0</v>
      </c>
      <c r="N27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79" spans="1:14" ht="17.100000000000001" customHeight="1" x14ac:dyDescent="0.2">
      <c r="A279" s="6" t="s">
        <v>306</v>
      </c>
      <c r="B279" s="7">
        <v>46063</v>
      </c>
      <c r="C279" s="8" t="s">
        <v>45</v>
      </c>
      <c r="D279" s="8" t="s">
        <v>17</v>
      </c>
      <c r="E279" s="9">
        <v>30</v>
      </c>
      <c r="F279" s="7">
        <v>46093</v>
      </c>
      <c r="G279" s="10">
        <v>3555.16</v>
      </c>
      <c r="H279" s="10">
        <v>533.27</v>
      </c>
      <c r="I279" s="10">
        <v>4088.43</v>
      </c>
      <c r="J279" s="9" t="s">
        <v>2</v>
      </c>
      <c r="K279" s="7">
        <v>46102</v>
      </c>
      <c r="L279" s="9" t="s">
        <v>3</v>
      </c>
      <c r="M279" s="11" cm="1">
        <f t="array" ref="M279">IF(Invoices[[#This Row],[Status]]="Open",MAX(0,AsOf-Invoices[[#This Row],[Due Date]]),IF(Invoices[[#This Row],[Paid Date]]="","",MAX(0,Invoices[[#This Row],[Paid Date]]-Invoices[[#This Row],[Due Date]])))</f>
        <v>9</v>
      </c>
      <c r="N27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80" spans="1:14" ht="17.100000000000001" customHeight="1" x14ac:dyDescent="0.2">
      <c r="A280" s="6" t="s">
        <v>307</v>
      </c>
      <c r="B280" s="7">
        <v>46064</v>
      </c>
      <c r="C280" s="8" t="s">
        <v>66</v>
      </c>
      <c r="D280" s="8" t="s">
        <v>62</v>
      </c>
      <c r="E280" s="9">
        <v>15</v>
      </c>
      <c r="F280" s="7">
        <v>46079</v>
      </c>
      <c r="G280" s="10">
        <v>474.57</v>
      </c>
      <c r="H280" s="10">
        <v>71.19</v>
      </c>
      <c r="I280" s="10">
        <v>545.76</v>
      </c>
      <c r="J280" s="9" t="s">
        <v>2</v>
      </c>
      <c r="K280" s="7">
        <v>46077</v>
      </c>
      <c r="L280" s="9" t="s">
        <v>3</v>
      </c>
      <c r="M280" s="11" cm="1">
        <f t="array" ref="M280">IF(Invoices[[#This Row],[Status]]="Open",MAX(0,AsOf-Invoices[[#This Row],[Due Date]]),IF(Invoices[[#This Row],[Paid Date]]="","",MAX(0,Invoices[[#This Row],[Paid Date]]-Invoices[[#This Row],[Due Date]])))</f>
        <v>0</v>
      </c>
      <c r="N28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81" spans="1:14" ht="17.100000000000001" customHeight="1" x14ac:dyDescent="0.2">
      <c r="A281" s="6" t="s">
        <v>308</v>
      </c>
      <c r="B281" s="7">
        <v>46064</v>
      </c>
      <c r="C281" s="8" t="s">
        <v>31</v>
      </c>
      <c r="D281" s="8" t="s">
        <v>6</v>
      </c>
      <c r="E281" s="9">
        <v>60</v>
      </c>
      <c r="F281" s="7">
        <v>46124</v>
      </c>
      <c r="G281" s="10">
        <v>7749.71</v>
      </c>
      <c r="H281" s="10">
        <v>1162.46</v>
      </c>
      <c r="I281" s="10">
        <v>8912.17</v>
      </c>
      <c r="J281" s="9" t="s">
        <v>2</v>
      </c>
      <c r="K281" s="7">
        <v>46130</v>
      </c>
      <c r="L281" s="9" t="s">
        <v>3</v>
      </c>
      <c r="M281" s="11" cm="1">
        <f t="array" ref="M281">IF(Invoices[[#This Row],[Status]]="Open",MAX(0,AsOf-Invoices[[#This Row],[Due Date]]),IF(Invoices[[#This Row],[Paid Date]]="","",MAX(0,Invoices[[#This Row],[Paid Date]]-Invoices[[#This Row],[Due Date]])))</f>
        <v>6</v>
      </c>
      <c r="N28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82" spans="1:14" ht="17.100000000000001" customHeight="1" x14ac:dyDescent="0.2">
      <c r="A282" s="6" t="s">
        <v>309</v>
      </c>
      <c r="B282" s="7">
        <v>46065</v>
      </c>
      <c r="C282" s="8" t="s">
        <v>31</v>
      </c>
      <c r="D282" s="8" t="s">
        <v>6</v>
      </c>
      <c r="E282" s="9">
        <v>60</v>
      </c>
      <c r="F282" s="7">
        <v>46125</v>
      </c>
      <c r="G282" s="10">
        <v>5733.87</v>
      </c>
      <c r="H282" s="10">
        <v>860.08</v>
      </c>
      <c r="I282" s="10">
        <v>6593.95</v>
      </c>
      <c r="J282" s="9" t="s">
        <v>2</v>
      </c>
      <c r="K282" s="7">
        <v>46128</v>
      </c>
      <c r="L282" s="9" t="s">
        <v>3</v>
      </c>
      <c r="M282" s="11" cm="1">
        <f t="array" ref="M282">IF(Invoices[[#This Row],[Status]]="Open",MAX(0,AsOf-Invoices[[#This Row],[Due Date]]),IF(Invoices[[#This Row],[Paid Date]]="","",MAX(0,Invoices[[#This Row],[Paid Date]]-Invoices[[#This Row],[Due Date]])))</f>
        <v>3</v>
      </c>
      <c r="N28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83" spans="1:14" ht="17.100000000000001" customHeight="1" x14ac:dyDescent="0.2">
      <c r="A283" s="6" t="s">
        <v>310</v>
      </c>
      <c r="B283" s="7">
        <v>46065</v>
      </c>
      <c r="C283" s="8" t="s">
        <v>20</v>
      </c>
      <c r="D283" s="8" t="s">
        <v>21</v>
      </c>
      <c r="E283" s="9">
        <v>30</v>
      </c>
      <c r="F283" s="7">
        <v>46095</v>
      </c>
      <c r="G283" s="10">
        <v>3145.72</v>
      </c>
      <c r="H283" s="10">
        <v>471.86</v>
      </c>
      <c r="I283" s="10">
        <v>3617.58</v>
      </c>
      <c r="J283" s="9" t="s">
        <v>2</v>
      </c>
      <c r="K283" s="7">
        <v>46095</v>
      </c>
      <c r="L283" s="9" t="s">
        <v>3</v>
      </c>
      <c r="M283" s="11" cm="1">
        <f t="array" ref="M283">IF(Invoices[[#This Row],[Status]]="Open",MAX(0,AsOf-Invoices[[#This Row],[Due Date]]),IF(Invoices[[#This Row],[Paid Date]]="","",MAX(0,Invoices[[#This Row],[Paid Date]]-Invoices[[#This Row],[Due Date]])))</f>
        <v>0</v>
      </c>
      <c r="N28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84" spans="1:14" ht="17.100000000000001" customHeight="1" x14ac:dyDescent="0.2">
      <c r="A284" s="6" t="s">
        <v>311</v>
      </c>
      <c r="B284" s="7">
        <v>46068</v>
      </c>
      <c r="C284" s="8" t="s">
        <v>10</v>
      </c>
      <c r="D284" s="8" t="s">
        <v>11</v>
      </c>
      <c r="E284" s="9">
        <v>30</v>
      </c>
      <c r="F284" s="7">
        <v>46098</v>
      </c>
      <c r="G284" s="10">
        <v>5127.9399999999996</v>
      </c>
      <c r="H284" s="10">
        <v>769.19</v>
      </c>
      <c r="I284" s="10">
        <v>5897.13</v>
      </c>
      <c r="J284" s="9" t="s">
        <v>2</v>
      </c>
      <c r="K284" s="7">
        <v>46100</v>
      </c>
      <c r="L284" s="9" t="s">
        <v>3</v>
      </c>
      <c r="M284" s="11" cm="1">
        <f t="array" ref="M284">IF(Invoices[[#This Row],[Status]]="Open",MAX(0,AsOf-Invoices[[#This Row],[Due Date]]),IF(Invoices[[#This Row],[Paid Date]]="","",MAX(0,Invoices[[#This Row],[Paid Date]]-Invoices[[#This Row],[Due Date]])))</f>
        <v>2</v>
      </c>
      <c r="N28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85" spans="1:14" ht="17.100000000000001" customHeight="1" x14ac:dyDescent="0.2">
      <c r="A285" s="6" t="s">
        <v>312</v>
      </c>
      <c r="B285" s="7">
        <v>46068</v>
      </c>
      <c r="C285" s="8" t="s">
        <v>13</v>
      </c>
      <c r="D285" s="8" t="s">
        <v>1</v>
      </c>
      <c r="E285" s="9">
        <v>30</v>
      </c>
      <c r="F285" s="7">
        <v>46098</v>
      </c>
      <c r="G285" s="10">
        <v>3206.76</v>
      </c>
      <c r="H285" s="10">
        <v>481.01</v>
      </c>
      <c r="I285" s="10">
        <v>3687.77</v>
      </c>
      <c r="J285" s="9" t="s">
        <v>2</v>
      </c>
      <c r="K285" s="7">
        <v>46093</v>
      </c>
      <c r="L285" s="9" t="s">
        <v>3</v>
      </c>
      <c r="M285" s="11" cm="1">
        <f t="array" ref="M285">IF(Invoices[[#This Row],[Status]]="Open",MAX(0,AsOf-Invoices[[#This Row],[Due Date]]),IF(Invoices[[#This Row],[Paid Date]]="","",MAX(0,Invoices[[#This Row],[Paid Date]]-Invoices[[#This Row],[Due Date]])))</f>
        <v>0</v>
      </c>
      <c r="N28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86" spans="1:14" ht="17.100000000000001" customHeight="1" x14ac:dyDescent="0.2">
      <c r="A286" s="6" t="s">
        <v>313</v>
      </c>
      <c r="B286" s="7">
        <v>46068</v>
      </c>
      <c r="C286" s="8" t="s">
        <v>20</v>
      </c>
      <c r="D286" s="8" t="s">
        <v>21</v>
      </c>
      <c r="E286" s="9">
        <v>30</v>
      </c>
      <c r="F286" s="7">
        <v>46098</v>
      </c>
      <c r="G286" s="10">
        <v>2379.5300000000002</v>
      </c>
      <c r="H286" s="10">
        <v>356.93</v>
      </c>
      <c r="I286" s="10">
        <v>2736.46</v>
      </c>
      <c r="J286" s="9" t="s">
        <v>2</v>
      </c>
      <c r="K286" s="7">
        <v>46094</v>
      </c>
      <c r="L286" s="9" t="s">
        <v>3</v>
      </c>
      <c r="M286" s="11" cm="1">
        <f t="array" ref="M286">IF(Invoices[[#This Row],[Status]]="Open",MAX(0,AsOf-Invoices[[#This Row],[Due Date]]),IF(Invoices[[#This Row],[Paid Date]]="","",MAX(0,Invoices[[#This Row],[Paid Date]]-Invoices[[#This Row],[Due Date]])))</f>
        <v>0</v>
      </c>
      <c r="N28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87" spans="1:14" ht="17.100000000000001" customHeight="1" x14ac:dyDescent="0.2">
      <c r="A287" s="6" t="s">
        <v>314</v>
      </c>
      <c r="B287" s="7">
        <v>46068</v>
      </c>
      <c r="C287" s="8" t="s">
        <v>54</v>
      </c>
      <c r="D287" s="8" t="s">
        <v>11</v>
      </c>
      <c r="E287" s="9">
        <v>30</v>
      </c>
      <c r="F287" s="7">
        <v>46098</v>
      </c>
      <c r="G287" s="10">
        <v>3887.08</v>
      </c>
      <c r="H287" s="10">
        <v>583.05999999999995</v>
      </c>
      <c r="I287" s="10">
        <v>4470.1400000000003</v>
      </c>
      <c r="J287" s="9" t="s">
        <v>2</v>
      </c>
      <c r="K287" s="7">
        <v>46149</v>
      </c>
      <c r="L287" s="9" t="s">
        <v>3</v>
      </c>
      <c r="M287" s="11" cm="1">
        <f t="array" ref="M287">IF(Invoices[[#This Row],[Status]]="Open",MAX(0,AsOf-Invoices[[#This Row],[Due Date]]),IF(Invoices[[#This Row],[Paid Date]]="","",MAX(0,Invoices[[#This Row],[Paid Date]]-Invoices[[#This Row],[Due Date]])))</f>
        <v>51</v>
      </c>
      <c r="N28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88" spans="1:14" ht="17.100000000000001" customHeight="1" x14ac:dyDescent="0.2">
      <c r="A288" s="6" t="s">
        <v>315</v>
      </c>
      <c r="B288" s="7">
        <v>46068</v>
      </c>
      <c r="C288" s="8" t="s">
        <v>10</v>
      </c>
      <c r="D288" s="8" t="s">
        <v>11</v>
      </c>
      <c r="E288" s="9">
        <v>30</v>
      </c>
      <c r="F288" s="7">
        <v>46098</v>
      </c>
      <c r="G288" s="10">
        <v>7152.29</v>
      </c>
      <c r="H288" s="10">
        <v>1072.8399999999999</v>
      </c>
      <c r="I288" s="10">
        <v>8225.1299999999992</v>
      </c>
      <c r="J288" s="9" t="s">
        <v>2</v>
      </c>
      <c r="K288" s="7">
        <v>46093</v>
      </c>
      <c r="L288" s="9" t="s">
        <v>3</v>
      </c>
      <c r="M288" s="11" cm="1">
        <f t="array" ref="M288">IF(Invoices[[#This Row],[Status]]="Open",MAX(0,AsOf-Invoices[[#This Row],[Due Date]]),IF(Invoices[[#This Row],[Paid Date]]="","",MAX(0,Invoices[[#This Row],[Paid Date]]-Invoices[[#This Row],[Due Date]])))</f>
        <v>0</v>
      </c>
      <c r="N28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89" spans="1:14" ht="17.100000000000001" customHeight="1" x14ac:dyDescent="0.2">
      <c r="A289" s="6" t="s">
        <v>316</v>
      </c>
      <c r="B289" s="7">
        <v>46069</v>
      </c>
      <c r="C289" s="8" t="s">
        <v>31</v>
      </c>
      <c r="D289" s="8" t="s">
        <v>6</v>
      </c>
      <c r="E289" s="9">
        <v>60</v>
      </c>
      <c r="F289" s="7">
        <v>46129</v>
      </c>
      <c r="G289" s="10">
        <v>13049.33</v>
      </c>
      <c r="H289" s="10">
        <v>1957.4</v>
      </c>
      <c r="I289" s="10">
        <v>15006.73</v>
      </c>
      <c r="J289" s="9" t="s">
        <v>2</v>
      </c>
      <c r="K289" s="7">
        <v>46129</v>
      </c>
      <c r="L289" s="9" t="s">
        <v>3</v>
      </c>
      <c r="M289" s="11" cm="1">
        <f t="array" ref="M289">IF(Invoices[[#This Row],[Status]]="Open",MAX(0,AsOf-Invoices[[#This Row],[Due Date]]),IF(Invoices[[#This Row],[Paid Date]]="","",MAX(0,Invoices[[#This Row],[Paid Date]]-Invoices[[#This Row],[Due Date]])))</f>
        <v>0</v>
      </c>
      <c r="N28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90" spans="1:14" ht="17.100000000000001" customHeight="1" x14ac:dyDescent="0.2">
      <c r="A290" s="6" t="s">
        <v>317</v>
      </c>
      <c r="B290" s="7">
        <v>46069</v>
      </c>
      <c r="C290" s="8" t="s">
        <v>31</v>
      </c>
      <c r="D290" s="8" t="s">
        <v>6</v>
      </c>
      <c r="E290" s="9">
        <v>60</v>
      </c>
      <c r="F290" s="7">
        <v>46129</v>
      </c>
      <c r="G290" s="10">
        <v>11682.64</v>
      </c>
      <c r="H290" s="10">
        <v>1752.4</v>
      </c>
      <c r="I290" s="10">
        <v>13435.04</v>
      </c>
      <c r="J290" s="9" t="s">
        <v>2</v>
      </c>
      <c r="K290" s="7">
        <v>46126</v>
      </c>
      <c r="L290" s="9" t="s">
        <v>3</v>
      </c>
      <c r="M290" s="11" cm="1">
        <f t="array" ref="M290">IF(Invoices[[#This Row],[Status]]="Open",MAX(0,AsOf-Invoices[[#This Row],[Due Date]]),IF(Invoices[[#This Row],[Paid Date]]="","",MAX(0,Invoices[[#This Row],[Paid Date]]-Invoices[[#This Row],[Due Date]])))</f>
        <v>0</v>
      </c>
      <c r="N29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91" spans="1:14" ht="17.100000000000001" customHeight="1" x14ac:dyDescent="0.2">
      <c r="A291" s="6" t="s">
        <v>318</v>
      </c>
      <c r="B291" s="7">
        <v>46069</v>
      </c>
      <c r="C291" s="8" t="s">
        <v>10</v>
      </c>
      <c r="D291" s="8" t="s">
        <v>11</v>
      </c>
      <c r="E291" s="9">
        <v>30</v>
      </c>
      <c r="F291" s="7">
        <v>46099</v>
      </c>
      <c r="G291" s="10">
        <v>11322.94</v>
      </c>
      <c r="H291" s="10"/>
      <c r="I291" s="10">
        <v>11322.94</v>
      </c>
      <c r="J291" s="9" t="s">
        <v>2</v>
      </c>
      <c r="K291" s="7">
        <v>46103</v>
      </c>
      <c r="L291" s="9" t="s">
        <v>3</v>
      </c>
      <c r="M291" s="11" cm="1">
        <f t="array" ref="M291">IF(Invoices[[#This Row],[Status]]="Open",MAX(0,AsOf-Invoices[[#This Row],[Due Date]]),IF(Invoices[[#This Row],[Paid Date]]="","",MAX(0,Invoices[[#This Row],[Paid Date]]-Invoices[[#This Row],[Due Date]])))</f>
        <v>4</v>
      </c>
      <c r="N29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Missing VAT</v>
      </c>
    </row>
    <row r="292" spans="1:14" ht="17.100000000000001" customHeight="1" x14ac:dyDescent="0.2">
      <c r="A292" s="6" t="s">
        <v>319</v>
      </c>
      <c r="B292" s="7">
        <v>46069</v>
      </c>
      <c r="C292" s="8" t="s">
        <v>8</v>
      </c>
      <c r="D292" s="8" t="s">
        <v>6</v>
      </c>
      <c r="E292" s="9">
        <v>45</v>
      </c>
      <c r="F292" s="7">
        <v>46114</v>
      </c>
      <c r="G292" s="10">
        <v>6591.44</v>
      </c>
      <c r="H292" s="10">
        <v>988.72</v>
      </c>
      <c r="I292" s="10">
        <v>7580.16</v>
      </c>
      <c r="J292" s="9" t="s">
        <v>2</v>
      </c>
      <c r="K292" s="7">
        <v>46116</v>
      </c>
      <c r="L292" s="9" t="s">
        <v>3</v>
      </c>
      <c r="M292" s="11" cm="1">
        <f t="array" ref="M292">IF(Invoices[[#This Row],[Status]]="Open",MAX(0,AsOf-Invoices[[#This Row],[Due Date]]),IF(Invoices[[#This Row],[Paid Date]]="","",MAX(0,Invoices[[#This Row],[Paid Date]]-Invoices[[#This Row],[Due Date]])))</f>
        <v>2</v>
      </c>
      <c r="N29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93" spans="1:14" ht="17.100000000000001" customHeight="1" x14ac:dyDescent="0.2">
      <c r="A293" s="6" t="s">
        <v>320</v>
      </c>
      <c r="B293" s="7">
        <v>46069</v>
      </c>
      <c r="C293" s="8" t="s">
        <v>31</v>
      </c>
      <c r="D293" s="8" t="s">
        <v>6</v>
      </c>
      <c r="E293" s="9">
        <v>60</v>
      </c>
      <c r="F293" s="7">
        <v>46129</v>
      </c>
      <c r="G293" s="10">
        <v>13171.48</v>
      </c>
      <c r="H293" s="10">
        <v>1975.72</v>
      </c>
      <c r="I293" s="10">
        <v>15147.2</v>
      </c>
      <c r="J293" s="9" t="s">
        <v>2</v>
      </c>
      <c r="K293" s="7">
        <v>46130</v>
      </c>
      <c r="L293" s="9" t="s">
        <v>3</v>
      </c>
      <c r="M293" s="11" cm="1">
        <f t="array" ref="M293">IF(Invoices[[#This Row],[Status]]="Open",MAX(0,AsOf-Invoices[[#This Row],[Due Date]]),IF(Invoices[[#This Row],[Paid Date]]="","",MAX(0,Invoices[[#This Row],[Paid Date]]-Invoices[[#This Row],[Due Date]])))</f>
        <v>1</v>
      </c>
      <c r="N29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94" spans="1:14" ht="17.100000000000001" customHeight="1" x14ac:dyDescent="0.2">
      <c r="A294" s="6" t="s">
        <v>321</v>
      </c>
      <c r="B294" s="7">
        <v>46070</v>
      </c>
      <c r="C294" s="8" t="s">
        <v>5</v>
      </c>
      <c r="D294" s="8" t="s">
        <v>6</v>
      </c>
      <c r="E294" s="9">
        <v>45</v>
      </c>
      <c r="F294" s="7">
        <v>46115</v>
      </c>
      <c r="G294" s="10">
        <v>8799.99</v>
      </c>
      <c r="H294" s="10">
        <v>1320</v>
      </c>
      <c r="I294" s="10">
        <v>10119.99</v>
      </c>
      <c r="J294" s="9" t="s">
        <v>2</v>
      </c>
      <c r="K294" s="7">
        <v>46111</v>
      </c>
      <c r="L294" s="9" t="s">
        <v>3</v>
      </c>
      <c r="M294" s="11" cm="1">
        <f t="array" ref="M294">IF(Invoices[[#This Row],[Status]]="Open",MAX(0,AsOf-Invoices[[#This Row],[Due Date]]),IF(Invoices[[#This Row],[Paid Date]]="","",MAX(0,Invoices[[#This Row],[Paid Date]]-Invoices[[#This Row],[Due Date]])))</f>
        <v>0</v>
      </c>
      <c r="N29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95" spans="1:14" ht="17.100000000000001" customHeight="1" x14ac:dyDescent="0.2">
      <c r="A295" s="6" t="s">
        <v>322</v>
      </c>
      <c r="B295" s="7">
        <v>46070</v>
      </c>
      <c r="C295" s="8" t="s">
        <v>34</v>
      </c>
      <c r="D295" s="8" t="s">
        <v>21</v>
      </c>
      <c r="E295" s="9">
        <v>30</v>
      </c>
      <c r="F295" s="7">
        <v>46100</v>
      </c>
      <c r="G295" s="10">
        <v>3674.17</v>
      </c>
      <c r="H295" s="10">
        <v>551.13</v>
      </c>
      <c r="I295" s="10">
        <v>4225.3</v>
      </c>
      <c r="J295" s="9" t="s">
        <v>2</v>
      </c>
      <c r="K295" s="7">
        <v>46153</v>
      </c>
      <c r="L295" s="9" t="s">
        <v>3</v>
      </c>
      <c r="M295" s="11" cm="1">
        <f t="array" ref="M295">IF(Invoices[[#This Row],[Status]]="Open",MAX(0,AsOf-Invoices[[#This Row],[Due Date]]),IF(Invoices[[#This Row],[Paid Date]]="","",MAX(0,Invoices[[#This Row],[Paid Date]]-Invoices[[#This Row],[Due Date]])))</f>
        <v>53</v>
      </c>
      <c r="N29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96" spans="1:14" ht="17.100000000000001" customHeight="1" x14ac:dyDescent="0.2">
      <c r="A296" s="6" t="s">
        <v>323</v>
      </c>
      <c r="B296" s="7">
        <v>46070</v>
      </c>
      <c r="C296" s="8" t="s">
        <v>13</v>
      </c>
      <c r="D296" s="8" t="s">
        <v>1</v>
      </c>
      <c r="E296" s="9">
        <v>30</v>
      </c>
      <c r="F296" s="7">
        <v>46100</v>
      </c>
      <c r="G296" s="10">
        <v>5981.14</v>
      </c>
      <c r="H296" s="10">
        <v>897.17</v>
      </c>
      <c r="I296" s="10">
        <v>6878.31</v>
      </c>
      <c r="J296" s="9" t="s">
        <v>2</v>
      </c>
      <c r="K296" s="7">
        <v>46100</v>
      </c>
      <c r="L296" s="9" t="s">
        <v>3</v>
      </c>
      <c r="M296" s="11" cm="1">
        <f t="array" ref="M296">IF(Invoices[[#This Row],[Status]]="Open",MAX(0,AsOf-Invoices[[#This Row],[Due Date]]),IF(Invoices[[#This Row],[Paid Date]]="","",MAX(0,Invoices[[#This Row],[Paid Date]]-Invoices[[#This Row],[Due Date]])))</f>
        <v>0</v>
      </c>
      <c r="N29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97" spans="1:14" ht="17.100000000000001" customHeight="1" x14ac:dyDescent="0.2">
      <c r="A297" s="6" t="s">
        <v>324</v>
      </c>
      <c r="B297" s="7">
        <v>46070</v>
      </c>
      <c r="C297" s="8" t="s">
        <v>20</v>
      </c>
      <c r="D297" s="8" t="s">
        <v>21</v>
      </c>
      <c r="E297" s="9">
        <v>30</v>
      </c>
      <c r="F297" s="7">
        <v>46100</v>
      </c>
      <c r="G297" s="10">
        <v>4917.1499999999996</v>
      </c>
      <c r="H297" s="10">
        <v>737.57</v>
      </c>
      <c r="I297" s="10">
        <v>5654.72</v>
      </c>
      <c r="J297" s="9" t="s">
        <v>2</v>
      </c>
      <c r="K297" s="7">
        <v>46098</v>
      </c>
      <c r="L297" s="9" t="s">
        <v>3</v>
      </c>
      <c r="M297" s="11" cm="1">
        <f t="array" ref="M297">IF(Invoices[[#This Row],[Status]]="Open",MAX(0,AsOf-Invoices[[#This Row],[Due Date]]),IF(Invoices[[#This Row],[Paid Date]]="","",MAX(0,Invoices[[#This Row],[Paid Date]]-Invoices[[#This Row],[Due Date]])))</f>
        <v>0</v>
      </c>
      <c r="N29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98" spans="1:14" ht="17.100000000000001" customHeight="1" x14ac:dyDescent="0.2">
      <c r="A298" s="6" t="s">
        <v>325</v>
      </c>
      <c r="B298" s="7">
        <v>46070</v>
      </c>
      <c r="C298" s="8" t="s">
        <v>5</v>
      </c>
      <c r="D298" s="8" t="s">
        <v>6</v>
      </c>
      <c r="E298" s="9">
        <v>45</v>
      </c>
      <c r="F298" s="7">
        <v>46115</v>
      </c>
      <c r="G298" s="10">
        <v>8548.01</v>
      </c>
      <c r="H298" s="10">
        <v>1282.2</v>
      </c>
      <c r="I298" s="10">
        <v>9830.2099999999991</v>
      </c>
      <c r="J298" s="9" t="s">
        <v>2</v>
      </c>
      <c r="K298" s="7">
        <v>46114</v>
      </c>
      <c r="L298" s="9" t="s">
        <v>3</v>
      </c>
      <c r="M298" s="11" cm="1">
        <f t="array" ref="M298">IF(Invoices[[#This Row],[Status]]="Open",MAX(0,AsOf-Invoices[[#This Row],[Due Date]]),IF(Invoices[[#This Row],[Paid Date]]="","",MAX(0,Invoices[[#This Row],[Paid Date]]-Invoices[[#This Row],[Due Date]])))</f>
        <v>0</v>
      </c>
      <c r="N29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299" spans="1:14" ht="17.100000000000001" customHeight="1" x14ac:dyDescent="0.2">
      <c r="A299" s="6" t="s">
        <v>326</v>
      </c>
      <c r="B299" s="7">
        <v>46070</v>
      </c>
      <c r="C299" s="8" t="s">
        <v>24</v>
      </c>
      <c r="D299" s="8" t="s">
        <v>25</v>
      </c>
      <c r="E299" s="9">
        <v>60</v>
      </c>
      <c r="F299" s="7">
        <v>46130</v>
      </c>
      <c r="G299" s="10">
        <v>5724.13</v>
      </c>
      <c r="H299" s="10">
        <v>858.62</v>
      </c>
      <c r="I299" s="10">
        <v>6582.75</v>
      </c>
      <c r="J299" s="9" t="s">
        <v>2</v>
      </c>
      <c r="K299" s="7">
        <v>46135</v>
      </c>
      <c r="L299" s="9" t="s">
        <v>3</v>
      </c>
      <c r="M299" s="11" cm="1">
        <f t="array" ref="M299">IF(Invoices[[#This Row],[Status]]="Open",MAX(0,AsOf-Invoices[[#This Row],[Due Date]]),IF(Invoices[[#This Row],[Paid Date]]="","",MAX(0,Invoices[[#This Row],[Paid Date]]-Invoices[[#This Row],[Due Date]])))</f>
        <v>5</v>
      </c>
      <c r="N29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00" spans="1:14" ht="17.100000000000001" customHeight="1" x14ac:dyDescent="0.2">
      <c r="A300" s="6" t="s">
        <v>327</v>
      </c>
      <c r="B300" s="7">
        <v>46070</v>
      </c>
      <c r="C300" s="8" t="s">
        <v>5</v>
      </c>
      <c r="D300" s="8" t="s">
        <v>6</v>
      </c>
      <c r="E300" s="9">
        <v>45</v>
      </c>
      <c r="F300" s="7">
        <v>46115</v>
      </c>
      <c r="G300" s="10">
        <v>8373.4</v>
      </c>
      <c r="H300" s="10">
        <v>1256.01</v>
      </c>
      <c r="I300" s="10">
        <v>9629.41</v>
      </c>
      <c r="J300" s="9" t="s">
        <v>2</v>
      </c>
      <c r="K300" s="7">
        <v>46119</v>
      </c>
      <c r="L300" s="9" t="s">
        <v>3</v>
      </c>
      <c r="M300" s="11" cm="1">
        <f t="array" ref="M300">IF(Invoices[[#This Row],[Status]]="Open",MAX(0,AsOf-Invoices[[#This Row],[Due Date]]),IF(Invoices[[#This Row],[Paid Date]]="","",MAX(0,Invoices[[#This Row],[Paid Date]]-Invoices[[#This Row],[Due Date]])))</f>
        <v>4</v>
      </c>
      <c r="N30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01" spans="1:14" ht="17.100000000000001" customHeight="1" x14ac:dyDescent="0.2">
      <c r="A301" s="6" t="s">
        <v>328</v>
      </c>
      <c r="B301" s="7">
        <v>46071</v>
      </c>
      <c r="C301" s="8" t="s">
        <v>66</v>
      </c>
      <c r="D301" s="8" t="s">
        <v>62</v>
      </c>
      <c r="E301" s="9">
        <v>15</v>
      </c>
      <c r="F301" s="7">
        <v>46071</v>
      </c>
      <c r="G301" s="10">
        <v>-905.98</v>
      </c>
      <c r="H301" s="10">
        <v>-135.9</v>
      </c>
      <c r="I301" s="10">
        <v>-1041.8800000000001</v>
      </c>
      <c r="J301" s="9" t="s">
        <v>111</v>
      </c>
      <c r="K301" s="7"/>
      <c r="L301" s="9" t="s">
        <v>112</v>
      </c>
      <c r="M301" s="11" t="str" cm="1">
        <f t="array" ref="M301">IF(Invoices[[#This Row],[Status]]="Open",MAX(0,AsOf-Invoices[[#This Row],[Due Date]]),IF(Invoices[[#This Row],[Paid Date]]="","",MAX(0,Invoices[[#This Row],[Paid Date]]-Invoices[[#This Row],[Due Date]])))</f>
        <v/>
      </c>
      <c r="N30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02" spans="1:14" ht="17.100000000000001" customHeight="1" x14ac:dyDescent="0.2">
      <c r="A302" s="6" t="s">
        <v>329</v>
      </c>
      <c r="B302" s="7">
        <v>46071</v>
      </c>
      <c r="C302" s="8" t="s">
        <v>5</v>
      </c>
      <c r="D302" s="8" t="s">
        <v>6</v>
      </c>
      <c r="E302" s="9">
        <v>45</v>
      </c>
      <c r="F302" s="7">
        <v>46116</v>
      </c>
      <c r="G302" s="10">
        <v>9872.9</v>
      </c>
      <c r="H302" s="10">
        <v>1480.93</v>
      </c>
      <c r="I302" s="10">
        <v>11353.83</v>
      </c>
      <c r="J302" s="9" t="s">
        <v>2</v>
      </c>
      <c r="K302" s="7">
        <v>46111</v>
      </c>
      <c r="L302" s="9" t="s">
        <v>3</v>
      </c>
      <c r="M302" s="11" cm="1">
        <f t="array" ref="M302">IF(Invoices[[#This Row],[Status]]="Open",MAX(0,AsOf-Invoices[[#This Row],[Due Date]]),IF(Invoices[[#This Row],[Paid Date]]="","",MAX(0,Invoices[[#This Row],[Paid Date]]-Invoices[[#This Row],[Due Date]])))</f>
        <v>0</v>
      </c>
      <c r="N30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03" spans="1:14" ht="17.100000000000001" customHeight="1" x14ac:dyDescent="0.2">
      <c r="A303" s="6" t="s">
        <v>330</v>
      </c>
      <c r="B303" s="7">
        <v>46071</v>
      </c>
      <c r="C303" s="8" t="s">
        <v>24</v>
      </c>
      <c r="D303" s="8" t="s">
        <v>25</v>
      </c>
      <c r="E303" s="9">
        <v>60</v>
      </c>
      <c r="F303" s="7">
        <v>46131</v>
      </c>
      <c r="G303" s="10">
        <v>7767.1</v>
      </c>
      <c r="H303" s="10">
        <v>1165.07</v>
      </c>
      <c r="I303" s="10">
        <v>8932.17</v>
      </c>
      <c r="J303" s="9" t="s">
        <v>2</v>
      </c>
      <c r="K303" s="7">
        <v>46134</v>
      </c>
      <c r="L303" s="9" t="s">
        <v>3</v>
      </c>
      <c r="M303" s="11" cm="1">
        <f t="array" ref="M303">IF(Invoices[[#This Row],[Status]]="Open",MAX(0,AsOf-Invoices[[#This Row],[Due Date]]),IF(Invoices[[#This Row],[Paid Date]]="","",MAX(0,Invoices[[#This Row],[Paid Date]]-Invoices[[#This Row],[Due Date]])))</f>
        <v>3</v>
      </c>
      <c r="N30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04" spans="1:14" ht="17.100000000000001" customHeight="1" x14ac:dyDescent="0.2">
      <c r="A304" s="6" t="s">
        <v>331</v>
      </c>
      <c r="B304" s="7">
        <v>46072</v>
      </c>
      <c r="C304" s="8" t="s">
        <v>16</v>
      </c>
      <c r="D304" s="8" t="s">
        <v>17</v>
      </c>
      <c r="E304" s="9">
        <v>30</v>
      </c>
      <c r="F304" s="7">
        <v>46102</v>
      </c>
      <c r="G304" s="10">
        <v>2927.09</v>
      </c>
      <c r="H304" s="10">
        <v>439.06</v>
      </c>
      <c r="I304" s="10">
        <v>3366.15</v>
      </c>
      <c r="J304" s="9" t="s">
        <v>2</v>
      </c>
      <c r="K304" s="7">
        <v>46107</v>
      </c>
      <c r="L304" s="9" t="s">
        <v>3</v>
      </c>
      <c r="M304" s="11" cm="1">
        <f t="array" ref="M304">IF(Invoices[[#This Row],[Status]]="Open",MAX(0,AsOf-Invoices[[#This Row],[Due Date]]),IF(Invoices[[#This Row],[Paid Date]]="","",MAX(0,Invoices[[#This Row],[Paid Date]]-Invoices[[#This Row],[Due Date]])))</f>
        <v>5</v>
      </c>
      <c r="N30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05" spans="1:14" ht="17.100000000000001" customHeight="1" x14ac:dyDescent="0.2">
      <c r="A305" s="6" t="s">
        <v>332</v>
      </c>
      <c r="B305" s="7">
        <v>46072</v>
      </c>
      <c r="C305" s="8" t="s">
        <v>24</v>
      </c>
      <c r="D305" s="8" t="s">
        <v>25</v>
      </c>
      <c r="E305" s="9">
        <v>60</v>
      </c>
      <c r="F305" s="7">
        <v>46132</v>
      </c>
      <c r="G305" s="10">
        <v>8154.96</v>
      </c>
      <c r="H305" s="10">
        <v>1223.24</v>
      </c>
      <c r="I305" s="10">
        <v>9378.2000000000007</v>
      </c>
      <c r="J305" s="9" t="s">
        <v>2</v>
      </c>
      <c r="K305" s="7">
        <v>46130</v>
      </c>
      <c r="L305" s="9" t="s">
        <v>3</v>
      </c>
      <c r="M305" s="11" cm="1">
        <f t="array" ref="M305">IF(Invoices[[#This Row],[Status]]="Open",MAX(0,AsOf-Invoices[[#This Row],[Due Date]]),IF(Invoices[[#This Row],[Paid Date]]="","",MAX(0,Invoices[[#This Row],[Paid Date]]-Invoices[[#This Row],[Due Date]])))</f>
        <v>0</v>
      </c>
      <c r="N30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06" spans="1:14" ht="17.100000000000001" customHeight="1" x14ac:dyDescent="0.2">
      <c r="A306" s="6" t="s">
        <v>333</v>
      </c>
      <c r="B306" s="7">
        <v>46072</v>
      </c>
      <c r="C306" s="8" t="s">
        <v>24</v>
      </c>
      <c r="D306" s="8" t="s">
        <v>25</v>
      </c>
      <c r="E306" s="9">
        <v>60</v>
      </c>
      <c r="F306" s="7">
        <v>46132</v>
      </c>
      <c r="G306" s="10">
        <v>5070.58</v>
      </c>
      <c r="H306" s="10">
        <v>760.59</v>
      </c>
      <c r="I306" s="10">
        <v>5831.17</v>
      </c>
      <c r="J306" s="9" t="s">
        <v>2</v>
      </c>
      <c r="K306" s="7">
        <v>46138</v>
      </c>
      <c r="L306" s="9" t="s">
        <v>3</v>
      </c>
      <c r="M306" s="11" cm="1">
        <f t="array" ref="M306">IF(Invoices[[#This Row],[Status]]="Open",MAX(0,AsOf-Invoices[[#This Row],[Due Date]]),IF(Invoices[[#This Row],[Paid Date]]="","",MAX(0,Invoices[[#This Row],[Paid Date]]-Invoices[[#This Row],[Due Date]])))</f>
        <v>6</v>
      </c>
      <c r="N30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07" spans="1:14" ht="17.100000000000001" customHeight="1" x14ac:dyDescent="0.2">
      <c r="A307" s="6" t="s">
        <v>334</v>
      </c>
      <c r="B307" s="7">
        <v>46075</v>
      </c>
      <c r="C307" s="8" t="s">
        <v>69</v>
      </c>
      <c r="D307" s="8" t="s">
        <v>6</v>
      </c>
      <c r="E307" s="9">
        <v>45</v>
      </c>
      <c r="F307" s="7">
        <v>46120</v>
      </c>
      <c r="G307" s="10">
        <v>6842.17</v>
      </c>
      <c r="H307" s="10">
        <v>1026.33</v>
      </c>
      <c r="I307" s="10">
        <v>7868.5</v>
      </c>
      <c r="J307" s="9" t="s">
        <v>2</v>
      </c>
      <c r="K307" s="7">
        <v>46128</v>
      </c>
      <c r="L307" s="9" t="s">
        <v>3</v>
      </c>
      <c r="M307" s="11" cm="1">
        <f t="array" ref="M307">IF(Invoices[[#This Row],[Status]]="Open",MAX(0,AsOf-Invoices[[#This Row],[Due Date]]),IF(Invoices[[#This Row],[Paid Date]]="","",MAX(0,Invoices[[#This Row],[Paid Date]]-Invoices[[#This Row],[Due Date]])))</f>
        <v>8</v>
      </c>
      <c r="N30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08" spans="1:14" ht="17.100000000000001" customHeight="1" x14ac:dyDescent="0.2">
      <c r="A308" s="6" t="s">
        <v>335</v>
      </c>
      <c r="B308" s="7">
        <v>46075</v>
      </c>
      <c r="C308" s="8" t="s">
        <v>8</v>
      </c>
      <c r="D308" s="8" t="s">
        <v>6</v>
      </c>
      <c r="E308" s="9">
        <v>45</v>
      </c>
      <c r="F308" s="7">
        <v>46120</v>
      </c>
      <c r="G308" s="10">
        <v>4289.55</v>
      </c>
      <c r="H308" s="10">
        <v>643.42999999999995</v>
      </c>
      <c r="I308" s="10">
        <v>4932.9799999999996</v>
      </c>
      <c r="J308" s="9" t="s">
        <v>2</v>
      </c>
      <c r="K308" s="7">
        <v>46129</v>
      </c>
      <c r="L308" s="9" t="s">
        <v>3</v>
      </c>
      <c r="M308" s="11" cm="1">
        <f t="array" ref="M308">IF(Invoices[[#This Row],[Status]]="Open",MAX(0,AsOf-Invoices[[#This Row],[Due Date]]),IF(Invoices[[#This Row],[Paid Date]]="","",MAX(0,Invoices[[#This Row],[Paid Date]]-Invoices[[#This Row],[Due Date]])))</f>
        <v>9</v>
      </c>
      <c r="N30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09" spans="1:14" ht="17.100000000000001" customHeight="1" x14ac:dyDescent="0.2">
      <c r="A309" s="6" t="s">
        <v>336</v>
      </c>
      <c r="B309" s="7">
        <v>46075</v>
      </c>
      <c r="C309" s="8" t="s">
        <v>5</v>
      </c>
      <c r="D309" s="8" t="s">
        <v>6</v>
      </c>
      <c r="E309" s="9">
        <v>45</v>
      </c>
      <c r="F309" s="7">
        <v>46120</v>
      </c>
      <c r="G309" s="10">
        <v>13349.35</v>
      </c>
      <c r="H309" s="10">
        <v>2002.4</v>
      </c>
      <c r="I309" s="10">
        <v>15351.75</v>
      </c>
      <c r="J309" s="9" t="s">
        <v>2</v>
      </c>
      <c r="K309" s="7">
        <v>46115</v>
      </c>
      <c r="L309" s="9" t="s">
        <v>3</v>
      </c>
      <c r="M309" s="11" cm="1">
        <f t="array" ref="M309">IF(Invoices[[#This Row],[Status]]="Open",MAX(0,AsOf-Invoices[[#This Row],[Due Date]]),IF(Invoices[[#This Row],[Paid Date]]="","",MAX(0,Invoices[[#This Row],[Paid Date]]-Invoices[[#This Row],[Due Date]])))</f>
        <v>0</v>
      </c>
      <c r="N30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10" spans="1:14" ht="17.100000000000001" customHeight="1" x14ac:dyDescent="0.2">
      <c r="A310" s="6" t="s">
        <v>337</v>
      </c>
      <c r="B310" s="7">
        <v>46076</v>
      </c>
      <c r="C310" s="8" t="s">
        <v>8</v>
      </c>
      <c r="D310" s="8" t="s">
        <v>6</v>
      </c>
      <c r="E310" s="9">
        <v>45</v>
      </c>
      <c r="F310" s="7">
        <v>46076</v>
      </c>
      <c r="G310" s="10">
        <v>-2172.9499999999998</v>
      </c>
      <c r="H310" s="10">
        <v>-325.94</v>
      </c>
      <c r="I310" s="10">
        <v>-2498.89</v>
      </c>
      <c r="J310" s="9" t="s">
        <v>111</v>
      </c>
      <c r="K310" s="7"/>
      <c r="L310" s="9" t="s">
        <v>112</v>
      </c>
      <c r="M310" s="11" t="str" cm="1">
        <f t="array" ref="M310">IF(Invoices[[#This Row],[Status]]="Open",MAX(0,AsOf-Invoices[[#This Row],[Due Date]]),IF(Invoices[[#This Row],[Paid Date]]="","",MAX(0,Invoices[[#This Row],[Paid Date]]-Invoices[[#This Row],[Due Date]])))</f>
        <v/>
      </c>
      <c r="N31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11" spans="1:14" ht="17.100000000000001" customHeight="1" x14ac:dyDescent="0.2">
      <c r="A311" s="6" t="s">
        <v>338</v>
      </c>
      <c r="B311" s="7">
        <v>46076</v>
      </c>
      <c r="C311" s="8" t="s">
        <v>56</v>
      </c>
      <c r="D311" s="8" t="s">
        <v>17</v>
      </c>
      <c r="E311" s="9">
        <v>30</v>
      </c>
      <c r="F311" s="7">
        <v>46106</v>
      </c>
      <c r="G311" s="10">
        <v>5326.01</v>
      </c>
      <c r="H311" s="10">
        <v>798.9</v>
      </c>
      <c r="I311" s="10">
        <v>6124.91</v>
      </c>
      <c r="J311" s="9" t="s">
        <v>2</v>
      </c>
      <c r="K311" s="7">
        <v>46102</v>
      </c>
      <c r="L311" s="9" t="s">
        <v>3</v>
      </c>
      <c r="M311" s="11" cm="1">
        <f t="array" ref="M311">IF(Invoices[[#This Row],[Status]]="Open",MAX(0,AsOf-Invoices[[#This Row],[Due Date]]),IF(Invoices[[#This Row],[Paid Date]]="","",MAX(0,Invoices[[#This Row],[Paid Date]]-Invoices[[#This Row],[Due Date]])))</f>
        <v>0</v>
      </c>
      <c r="N31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12" spans="1:14" ht="17.100000000000001" customHeight="1" x14ac:dyDescent="0.2">
      <c r="A312" s="6" t="s">
        <v>339</v>
      </c>
      <c r="B312" s="7">
        <v>46076</v>
      </c>
      <c r="C312" s="8" t="s">
        <v>75</v>
      </c>
      <c r="D312" s="8" t="s">
        <v>21</v>
      </c>
      <c r="E312" s="9">
        <v>30</v>
      </c>
      <c r="F312" s="7">
        <v>46106</v>
      </c>
      <c r="G312" s="10">
        <v>2942.75</v>
      </c>
      <c r="H312" s="10">
        <v>441.41</v>
      </c>
      <c r="I312" s="10">
        <v>3384.16</v>
      </c>
      <c r="J312" s="9" t="s">
        <v>2</v>
      </c>
      <c r="K312" s="7">
        <v>46106</v>
      </c>
      <c r="L312" s="9" t="s">
        <v>3</v>
      </c>
      <c r="M312" s="11" cm="1">
        <f t="array" ref="M312">IF(Invoices[[#This Row],[Status]]="Open",MAX(0,AsOf-Invoices[[#This Row],[Due Date]]),IF(Invoices[[#This Row],[Paid Date]]="","",MAX(0,Invoices[[#This Row],[Paid Date]]-Invoices[[#This Row],[Due Date]])))</f>
        <v>0</v>
      </c>
      <c r="N31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13" spans="1:14" ht="17.100000000000001" customHeight="1" x14ac:dyDescent="0.2">
      <c r="A313" s="6" t="s">
        <v>340</v>
      </c>
      <c r="B313" s="7">
        <v>46077</v>
      </c>
      <c r="C313" s="8" t="s">
        <v>8</v>
      </c>
      <c r="D313" s="8" t="s">
        <v>6</v>
      </c>
      <c r="E313" s="9">
        <v>45</v>
      </c>
      <c r="F313" s="7">
        <v>46122</v>
      </c>
      <c r="G313" s="10">
        <v>10798.41</v>
      </c>
      <c r="H313" s="10">
        <v>1619.76</v>
      </c>
      <c r="I313" s="10">
        <v>12418.17</v>
      </c>
      <c r="J313" s="9" t="s">
        <v>2</v>
      </c>
      <c r="K313" s="7">
        <v>46131</v>
      </c>
      <c r="L313" s="9" t="s">
        <v>3</v>
      </c>
      <c r="M313" s="11" cm="1">
        <f t="array" ref="M313">IF(Invoices[[#This Row],[Status]]="Open",MAX(0,AsOf-Invoices[[#This Row],[Due Date]]),IF(Invoices[[#This Row],[Paid Date]]="","",MAX(0,Invoices[[#This Row],[Paid Date]]-Invoices[[#This Row],[Due Date]])))</f>
        <v>9</v>
      </c>
      <c r="N31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14" spans="1:14" ht="17.100000000000001" customHeight="1" x14ac:dyDescent="0.2">
      <c r="A314" s="6" t="s">
        <v>341</v>
      </c>
      <c r="B314" s="7">
        <v>46077</v>
      </c>
      <c r="C314" s="8" t="s">
        <v>20</v>
      </c>
      <c r="D314" s="8" t="s">
        <v>21</v>
      </c>
      <c r="E314" s="9">
        <v>30</v>
      </c>
      <c r="F314" s="7">
        <v>46107</v>
      </c>
      <c r="G314" s="10">
        <v>7179.48</v>
      </c>
      <c r="H314" s="10">
        <v>1076.92</v>
      </c>
      <c r="I314" s="10">
        <v>8256.4</v>
      </c>
      <c r="J314" s="9" t="s">
        <v>2</v>
      </c>
      <c r="K314" s="7">
        <v>46104</v>
      </c>
      <c r="L314" s="9" t="s">
        <v>3</v>
      </c>
      <c r="M314" s="11" cm="1">
        <f t="array" ref="M314">IF(Invoices[[#This Row],[Status]]="Open",MAX(0,AsOf-Invoices[[#This Row],[Due Date]]),IF(Invoices[[#This Row],[Paid Date]]="","",MAX(0,Invoices[[#This Row],[Paid Date]]-Invoices[[#This Row],[Due Date]])))</f>
        <v>0</v>
      </c>
      <c r="N31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15" spans="1:14" ht="17.100000000000001" customHeight="1" x14ac:dyDescent="0.2">
      <c r="A315" s="6" t="s">
        <v>342</v>
      </c>
      <c r="B315" s="7">
        <v>46077</v>
      </c>
      <c r="C315" s="8" t="s">
        <v>5</v>
      </c>
      <c r="D315" s="8" t="s">
        <v>6</v>
      </c>
      <c r="E315" s="9">
        <v>45</v>
      </c>
      <c r="F315" s="7">
        <v>46122</v>
      </c>
      <c r="G315" s="10">
        <v>10959.85</v>
      </c>
      <c r="H315" s="10">
        <v>1643.98</v>
      </c>
      <c r="I315" s="10">
        <v>12603.83</v>
      </c>
      <c r="J315" s="9" t="s">
        <v>2</v>
      </c>
      <c r="K315" s="7">
        <v>46118</v>
      </c>
      <c r="L315" s="9" t="s">
        <v>3</v>
      </c>
      <c r="M315" s="11" cm="1">
        <f t="array" ref="M315">IF(Invoices[[#This Row],[Status]]="Open",MAX(0,AsOf-Invoices[[#This Row],[Due Date]]),IF(Invoices[[#This Row],[Paid Date]]="","",MAX(0,Invoices[[#This Row],[Paid Date]]-Invoices[[#This Row],[Due Date]])))</f>
        <v>0</v>
      </c>
      <c r="N31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16" spans="1:14" ht="17.100000000000001" customHeight="1" x14ac:dyDescent="0.2">
      <c r="A316" s="6" t="s">
        <v>343</v>
      </c>
      <c r="B316" s="7">
        <v>46077</v>
      </c>
      <c r="C316" s="8" t="s">
        <v>8</v>
      </c>
      <c r="D316" s="8" t="s">
        <v>6</v>
      </c>
      <c r="E316" s="9">
        <v>45</v>
      </c>
      <c r="F316" s="7">
        <v>46122</v>
      </c>
      <c r="G316" s="10">
        <v>7819.53</v>
      </c>
      <c r="H316" s="10">
        <v>1172.93</v>
      </c>
      <c r="I316" s="10">
        <v>8992.4599999999991</v>
      </c>
      <c r="J316" s="9" t="s">
        <v>2</v>
      </c>
      <c r="K316" s="7">
        <v>46120</v>
      </c>
      <c r="L316" s="9" t="s">
        <v>3</v>
      </c>
      <c r="M316" s="11" cm="1">
        <f t="array" ref="M316">IF(Invoices[[#This Row],[Status]]="Open",MAX(0,AsOf-Invoices[[#This Row],[Due Date]]),IF(Invoices[[#This Row],[Paid Date]]="","",MAX(0,Invoices[[#This Row],[Paid Date]]-Invoices[[#This Row],[Due Date]])))</f>
        <v>0</v>
      </c>
      <c r="N31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17" spans="1:14" ht="17.100000000000001" customHeight="1" x14ac:dyDescent="0.2">
      <c r="A317" s="6" t="s">
        <v>344</v>
      </c>
      <c r="B317" s="7">
        <v>46077</v>
      </c>
      <c r="C317" s="8" t="s">
        <v>89</v>
      </c>
      <c r="D317" s="8" t="s">
        <v>39</v>
      </c>
      <c r="E317" s="9">
        <v>15</v>
      </c>
      <c r="F317" s="7">
        <v>46092</v>
      </c>
      <c r="G317" s="10">
        <v>1328.9</v>
      </c>
      <c r="H317" s="10">
        <v>199.34</v>
      </c>
      <c r="I317" s="10">
        <v>1528.24</v>
      </c>
      <c r="J317" s="9" t="s">
        <v>2</v>
      </c>
      <c r="K317" s="7">
        <v>46091</v>
      </c>
      <c r="L317" s="9" t="s">
        <v>3</v>
      </c>
      <c r="M317" s="11" cm="1">
        <f t="array" ref="M317">IF(Invoices[[#This Row],[Status]]="Open",MAX(0,AsOf-Invoices[[#This Row],[Due Date]]),IF(Invoices[[#This Row],[Paid Date]]="","",MAX(0,Invoices[[#This Row],[Paid Date]]-Invoices[[#This Row],[Due Date]])))</f>
        <v>0</v>
      </c>
      <c r="N31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18" spans="1:14" ht="17.100000000000001" customHeight="1" x14ac:dyDescent="0.2">
      <c r="A318" s="6" t="s">
        <v>345</v>
      </c>
      <c r="B318" s="7">
        <v>46078</v>
      </c>
      <c r="C318" s="8" t="s">
        <v>95</v>
      </c>
      <c r="D318" s="8" t="s">
        <v>62</v>
      </c>
      <c r="E318" s="9">
        <v>15</v>
      </c>
      <c r="F318" s="7">
        <v>46093</v>
      </c>
      <c r="G318" s="10">
        <v>997.35</v>
      </c>
      <c r="H318" s="10">
        <v>149.6</v>
      </c>
      <c r="I318" s="10">
        <v>1146.95</v>
      </c>
      <c r="J318" s="9" t="s">
        <v>2</v>
      </c>
      <c r="K318" s="7">
        <v>46090</v>
      </c>
      <c r="L318" s="9" t="s">
        <v>3</v>
      </c>
      <c r="M318" s="11" cm="1">
        <f t="array" ref="M318">IF(Invoices[[#This Row],[Status]]="Open",MAX(0,AsOf-Invoices[[#This Row],[Due Date]]),IF(Invoices[[#This Row],[Paid Date]]="","",MAX(0,Invoices[[#This Row],[Paid Date]]-Invoices[[#This Row],[Due Date]])))</f>
        <v>0</v>
      </c>
      <c r="N31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19" spans="1:14" ht="17.100000000000001" customHeight="1" x14ac:dyDescent="0.2">
      <c r="A319" s="6" t="s">
        <v>346</v>
      </c>
      <c r="B319" s="7">
        <v>46079</v>
      </c>
      <c r="C319" s="8" t="s">
        <v>8</v>
      </c>
      <c r="D319" s="8" t="s">
        <v>6</v>
      </c>
      <c r="E319" s="9">
        <v>45</v>
      </c>
      <c r="F319" s="7">
        <v>46124</v>
      </c>
      <c r="G319" s="10">
        <v>3410.93</v>
      </c>
      <c r="H319" s="10">
        <v>511.64</v>
      </c>
      <c r="I319" s="10">
        <v>3922.57</v>
      </c>
      <c r="J319" s="9" t="s">
        <v>2</v>
      </c>
      <c r="K319" s="7">
        <v>46130</v>
      </c>
      <c r="L319" s="9" t="s">
        <v>3</v>
      </c>
      <c r="M319" s="11" cm="1">
        <f t="array" ref="M319">IF(Invoices[[#This Row],[Status]]="Open",MAX(0,AsOf-Invoices[[#This Row],[Due Date]]),IF(Invoices[[#This Row],[Paid Date]]="","",MAX(0,Invoices[[#This Row],[Paid Date]]-Invoices[[#This Row],[Due Date]])))</f>
        <v>6</v>
      </c>
      <c r="N31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20" spans="1:14" ht="17.100000000000001" customHeight="1" x14ac:dyDescent="0.2">
      <c r="A320" s="6" t="s">
        <v>347</v>
      </c>
      <c r="B320" s="7">
        <v>46079</v>
      </c>
      <c r="C320" s="8" t="s">
        <v>5</v>
      </c>
      <c r="D320" s="8" t="s">
        <v>6</v>
      </c>
      <c r="E320" s="9">
        <v>45</v>
      </c>
      <c r="F320" s="7">
        <v>46124</v>
      </c>
      <c r="G320" s="10">
        <v>10290.51</v>
      </c>
      <c r="H320" s="10">
        <v>1543.58</v>
      </c>
      <c r="I320" s="10">
        <v>11834.09</v>
      </c>
      <c r="J320" s="9" t="s">
        <v>2</v>
      </c>
      <c r="K320" s="7">
        <v>46121</v>
      </c>
      <c r="L320" s="9" t="s">
        <v>3</v>
      </c>
      <c r="M320" s="11" cm="1">
        <f t="array" ref="M320">IF(Invoices[[#This Row],[Status]]="Open",MAX(0,AsOf-Invoices[[#This Row],[Due Date]]),IF(Invoices[[#This Row],[Paid Date]]="","",MAX(0,Invoices[[#This Row],[Paid Date]]-Invoices[[#This Row],[Due Date]])))</f>
        <v>0</v>
      </c>
      <c r="N32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21" spans="1:14" ht="17.100000000000001" customHeight="1" x14ac:dyDescent="0.2">
      <c r="A321" s="6" t="s">
        <v>348</v>
      </c>
      <c r="B321" s="7">
        <v>46079</v>
      </c>
      <c r="C321" s="8" t="s">
        <v>31</v>
      </c>
      <c r="D321" s="8" t="s">
        <v>6</v>
      </c>
      <c r="E321" s="9">
        <v>60</v>
      </c>
      <c r="F321" s="7">
        <v>46139</v>
      </c>
      <c r="G321" s="10">
        <v>13028.02</v>
      </c>
      <c r="H321" s="10">
        <v>1954.2</v>
      </c>
      <c r="I321" s="10">
        <v>14982.22</v>
      </c>
      <c r="J321" s="9" t="s">
        <v>2</v>
      </c>
      <c r="K321" s="7">
        <v>46144</v>
      </c>
      <c r="L321" s="9" t="s">
        <v>3</v>
      </c>
      <c r="M321" s="11" cm="1">
        <f t="array" ref="M321">IF(Invoices[[#This Row],[Status]]="Open",MAX(0,AsOf-Invoices[[#This Row],[Due Date]]),IF(Invoices[[#This Row],[Paid Date]]="","",MAX(0,Invoices[[#This Row],[Paid Date]]-Invoices[[#This Row],[Due Date]])))</f>
        <v>5</v>
      </c>
      <c r="N32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22" spans="1:14" ht="17.100000000000001" customHeight="1" x14ac:dyDescent="0.2">
      <c r="A322" s="6" t="s">
        <v>349</v>
      </c>
      <c r="B322" s="7">
        <v>46079</v>
      </c>
      <c r="C322" s="8" t="s">
        <v>5</v>
      </c>
      <c r="D322" s="8" t="s">
        <v>6</v>
      </c>
      <c r="E322" s="9">
        <v>45</v>
      </c>
      <c r="F322" s="7">
        <v>46124</v>
      </c>
      <c r="G322" s="10">
        <v>18942.28</v>
      </c>
      <c r="H322" s="10">
        <v>2841.34</v>
      </c>
      <c r="I322" s="10">
        <v>21783.62</v>
      </c>
      <c r="J322" s="9" t="s">
        <v>2</v>
      </c>
      <c r="K322" s="7">
        <v>46124</v>
      </c>
      <c r="L322" s="9" t="s">
        <v>3</v>
      </c>
      <c r="M322" s="11" cm="1">
        <f t="array" ref="M322">IF(Invoices[[#This Row],[Status]]="Open",MAX(0,AsOf-Invoices[[#This Row],[Due Date]]),IF(Invoices[[#This Row],[Paid Date]]="","",MAX(0,Invoices[[#This Row],[Paid Date]]-Invoices[[#This Row],[Due Date]])))</f>
        <v>0</v>
      </c>
      <c r="N32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23" spans="1:14" ht="17.100000000000001" customHeight="1" x14ac:dyDescent="0.2">
      <c r="A323" s="6" t="s">
        <v>350</v>
      </c>
      <c r="B323" s="7">
        <v>46079</v>
      </c>
      <c r="C323" s="8" t="s">
        <v>16</v>
      </c>
      <c r="D323" s="8" t="s">
        <v>17</v>
      </c>
      <c r="E323" s="9">
        <v>30</v>
      </c>
      <c r="F323" s="7">
        <v>46109</v>
      </c>
      <c r="G323" s="10">
        <v>3427.73</v>
      </c>
      <c r="H323" s="10">
        <v>514.16</v>
      </c>
      <c r="I323" s="10">
        <v>3941.89</v>
      </c>
      <c r="J323" s="9" t="s">
        <v>2</v>
      </c>
      <c r="K323" s="7">
        <v>46164</v>
      </c>
      <c r="L323" s="9" t="s">
        <v>3</v>
      </c>
      <c r="M323" s="11" cm="1">
        <f t="array" ref="M323">IF(Invoices[[#This Row],[Status]]="Open",MAX(0,AsOf-Invoices[[#This Row],[Due Date]]),IF(Invoices[[#This Row],[Paid Date]]="","",MAX(0,Invoices[[#This Row],[Paid Date]]-Invoices[[#This Row],[Due Date]])))</f>
        <v>55</v>
      </c>
      <c r="N32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24" spans="1:14" ht="17.100000000000001" customHeight="1" x14ac:dyDescent="0.2">
      <c r="A324" s="6" t="s">
        <v>351</v>
      </c>
      <c r="B324" s="7">
        <v>46082</v>
      </c>
      <c r="C324" s="8" t="s">
        <v>8</v>
      </c>
      <c r="D324" s="8" t="s">
        <v>6</v>
      </c>
      <c r="E324" s="9">
        <v>45</v>
      </c>
      <c r="F324" s="7">
        <v>46127</v>
      </c>
      <c r="G324" s="10">
        <v>7161.19</v>
      </c>
      <c r="H324" s="10">
        <v>1074.18</v>
      </c>
      <c r="I324" s="10">
        <v>8235.3700000000008</v>
      </c>
      <c r="J324" s="9" t="s">
        <v>2</v>
      </c>
      <c r="K324" s="7">
        <v>46134</v>
      </c>
      <c r="L324" s="9" t="s">
        <v>3</v>
      </c>
      <c r="M324" s="11" cm="1">
        <f t="array" ref="M324">IF(Invoices[[#This Row],[Status]]="Open",MAX(0,AsOf-Invoices[[#This Row],[Due Date]]),IF(Invoices[[#This Row],[Paid Date]]="","",MAX(0,Invoices[[#This Row],[Paid Date]]-Invoices[[#This Row],[Due Date]])))</f>
        <v>7</v>
      </c>
      <c r="N32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25" spans="1:14" ht="17.100000000000001" customHeight="1" x14ac:dyDescent="0.2">
      <c r="A325" s="6" t="s">
        <v>352</v>
      </c>
      <c r="B325" s="7">
        <v>46082</v>
      </c>
      <c r="C325" s="8" t="s">
        <v>5</v>
      </c>
      <c r="D325" s="8" t="s">
        <v>6</v>
      </c>
      <c r="E325" s="9">
        <v>45</v>
      </c>
      <c r="F325" s="7">
        <v>46127</v>
      </c>
      <c r="G325" s="10">
        <v>7307.95</v>
      </c>
      <c r="H325" s="10">
        <v>1096.19</v>
      </c>
      <c r="I325" s="10">
        <v>8404.14</v>
      </c>
      <c r="J325" s="9" t="s">
        <v>2</v>
      </c>
      <c r="K325" s="7">
        <v>46129</v>
      </c>
      <c r="L325" s="9" t="s">
        <v>3</v>
      </c>
      <c r="M325" s="11" cm="1">
        <f t="array" ref="M325">IF(Invoices[[#This Row],[Status]]="Open",MAX(0,AsOf-Invoices[[#This Row],[Due Date]]),IF(Invoices[[#This Row],[Paid Date]]="","",MAX(0,Invoices[[#This Row],[Paid Date]]-Invoices[[#This Row],[Due Date]])))</f>
        <v>2</v>
      </c>
      <c r="N32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26" spans="1:14" ht="17.100000000000001" customHeight="1" x14ac:dyDescent="0.2">
      <c r="A326" s="6" t="s">
        <v>353</v>
      </c>
      <c r="B326" s="7">
        <v>46082</v>
      </c>
      <c r="C326" s="8" t="s">
        <v>95</v>
      </c>
      <c r="D326" s="8" t="s">
        <v>62</v>
      </c>
      <c r="E326" s="9">
        <v>15</v>
      </c>
      <c r="F326" s="7">
        <v>46097</v>
      </c>
      <c r="G326" s="10">
        <v>4510.8900000000003</v>
      </c>
      <c r="H326" s="10">
        <v>676.63</v>
      </c>
      <c r="I326" s="10">
        <v>5187.5200000000004</v>
      </c>
      <c r="J326" s="9" t="s">
        <v>2</v>
      </c>
      <c r="K326" s="7">
        <v>46107</v>
      </c>
      <c r="L326" s="9" t="s">
        <v>3</v>
      </c>
      <c r="M326" s="11" cm="1">
        <f t="array" ref="M326">IF(Invoices[[#This Row],[Status]]="Open",MAX(0,AsOf-Invoices[[#This Row],[Due Date]]),IF(Invoices[[#This Row],[Paid Date]]="","",MAX(0,Invoices[[#This Row],[Paid Date]]-Invoices[[#This Row],[Due Date]])))</f>
        <v>10</v>
      </c>
      <c r="N32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27" spans="1:14" ht="17.100000000000001" customHeight="1" x14ac:dyDescent="0.2">
      <c r="A327" s="6" t="s">
        <v>354</v>
      </c>
      <c r="B327" s="7">
        <v>46082</v>
      </c>
      <c r="C327" s="8" t="s">
        <v>13</v>
      </c>
      <c r="D327" s="8" t="s">
        <v>1</v>
      </c>
      <c r="E327" s="9">
        <v>30</v>
      </c>
      <c r="F327" s="7">
        <v>46112</v>
      </c>
      <c r="G327" s="10">
        <v>6553.94</v>
      </c>
      <c r="H327" s="10">
        <v>983.09</v>
      </c>
      <c r="I327" s="10">
        <v>7537.03</v>
      </c>
      <c r="J327" s="9" t="s">
        <v>2</v>
      </c>
      <c r="K327" s="7">
        <v>46116</v>
      </c>
      <c r="L327" s="9" t="s">
        <v>3</v>
      </c>
      <c r="M327" s="11" cm="1">
        <f t="array" ref="M327">IF(Invoices[[#This Row],[Status]]="Open",MAX(0,AsOf-Invoices[[#This Row],[Due Date]]),IF(Invoices[[#This Row],[Paid Date]]="","",MAX(0,Invoices[[#This Row],[Paid Date]]-Invoices[[#This Row],[Due Date]])))</f>
        <v>4</v>
      </c>
      <c r="N32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28" spans="1:14" ht="17.100000000000001" customHeight="1" x14ac:dyDescent="0.2">
      <c r="A328" s="6" t="s">
        <v>355</v>
      </c>
      <c r="B328" s="7">
        <v>46083</v>
      </c>
      <c r="C328" s="8" t="s">
        <v>31</v>
      </c>
      <c r="D328" s="8" t="s">
        <v>6</v>
      </c>
      <c r="E328" s="9">
        <v>60</v>
      </c>
      <c r="F328" s="7">
        <v>46083</v>
      </c>
      <c r="G328" s="10">
        <v>-3981.57</v>
      </c>
      <c r="H328" s="10">
        <v>-597.24</v>
      </c>
      <c r="I328" s="10">
        <v>-4578.8100000000004</v>
      </c>
      <c r="J328" s="9" t="s">
        <v>111</v>
      </c>
      <c r="K328" s="7"/>
      <c r="L328" s="9" t="s">
        <v>112</v>
      </c>
      <c r="M328" s="11" t="str" cm="1">
        <f t="array" ref="M328">IF(Invoices[[#This Row],[Status]]="Open",MAX(0,AsOf-Invoices[[#This Row],[Due Date]]),IF(Invoices[[#This Row],[Paid Date]]="","",MAX(0,Invoices[[#This Row],[Paid Date]]-Invoices[[#This Row],[Due Date]])))</f>
        <v/>
      </c>
      <c r="N32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29" spans="1:14" ht="17.100000000000001" customHeight="1" x14ac:dyDescent="0.2">
      <c r="A329" s="6" t="s">
        <v>356</v>
      </c>
      <c r="B329" s="7">
        <v>46083</v>
      </c>
      <c r="C329" s="8" t="s">
        <v>56</v>
      </c>
      <c r="D329" s="8" t="s">
        <v>17</v>
      </c>
      <c r="E329" s="9">
        <v>30</v>
      </c>
      <c r="F329" s="7">
        <v>46113</v>
      </c>
      <c r="G329" s="10">
        <v>3121.99</v>
      </c>
      <c r="H329" s="10">
        <v>468.3</v>
      </c>
      <c r="I329" s="10">
        <v>3590.29</v>
      </c>
      <c r="J329" s="9" t="s">
        <v>2</v>
      </c>
      <c r="K329" s="7">
        <v>46117</v>
      </c>
      <c r="L329" s="9" t="s">
        <v>3</v>
      </c>
      <c r="M329" s="11" cm="1">
        <f t="array" ref="M329">IF(Invoices[[#This Row],[Status]]="Open",MAX(0,AsOf-Invoices[[#This Row],[Due Date]]),IF(Invoices[[#This Row],[Paid Date]]="","",MAX(0,Invoices[[#This Row],[Paid Date]]-Invoices[[#This Row],[Due Date]])))</f>
        <v>4</v>
      </c>
      <c r="N32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30" spans="1:14" ht="17.100000000000001" customHeight="1" x14ac:dyDescent="0.2">
      <c r="A330" s="6" t="s">
        <v>357</v>
      </c>
      <c r="B330" s="7">
        <v>46083</v>
      </c>
      <c r="C330" s="8" t="s">
        <v>31</v>
      </c>
      <c r="D330" s="8" t="s">
        <v>6</v>
      </c>
      <c r="E330" s="9">
        <v>60</v>
      </c>
      <c r="F330" s="7">
        <v>46143</v>
      </c>
      <c r="G330" s="10">
        <v>7187.52</v>
      </c>
      <c r="H330" s="10">
        <v>1078.1300000000001</v>
      </c>
      <c r="I330" s="10">
        <v>8265.65</v>
      </c>
      <c r="J330" s="9" t="s">
        <v>2</v>
      </c>
      <c r="K330" s="7">
        <v>46138</v>
      </c>
      <c r="L330" s="9" t="s">
        <v>3</v>
      </c>
      <c r="M330" s="11" cm="1">
        <f t="array" ref="M330">IF(Invoices[[#This Row],[Status]]="Open",MAX(0,AsOf-Invoices[[#This Row],[Due Date]]),IF(Invoices[[#This Row],[Paid Date]]="","",MAX(0,Invoices[[#This Row],[Paid Date]]-Invoices[[#This Row],[Due Date]])))</f>
        <v>0</v>
      </c>
      <c r="N33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31" spans="1:14" ht="17.100000000000001" customHeight="1" x14ac:dyDescent="0.2">
      <c r="A331" s="6" t="s">
        <v>358</v>
      </c>
      <c r="B331" s="7">
        <v>46083</v>
      </c>
      <c r="C331" s="8" t="s">
        <v>5</v>
      </c>
      <c r="D331" s="8" t="s">
        <v>6</v>
      </c>
      <c r="E331" s="9">
        <v>45</v>
      </c>
      <c r="F331" s="7">
        <v>46128</v>
      </c>
      <c r="G331" s="10">
        <v>18107.55</v>
      </c>
      <c r="H331" s="10">
        <v>2716.13</v>
      </c>
      <c r="I331" s="10">
        <v>20823.68</v>
      </c>
      <c r="J331" s="9" t="s">
        <v>2</v>
      </c>
      <c r="K331" s="7">
        <v>46124</v>
      </c>
      <c r="L331" s="9" t="s">
        <v>3</v>
      </c>
      <c r="M331" s="11" cm="1">
        <f t="array" ref="M331">IF(Invoices[[#This Row],[Status]]="Open",MAX(0,AsOf-Invoices[[#This Row],[Due Date]]),IF(Invoices[[#This Row],[Paid Date]]="","",MAX(0,Invoices[[#This Row],[Paid Date]]-Invoices[[#This Row],[Due Date]])))</f>
        <v>0</v>
      </c>
      <c r="N33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32" spans="1:14" ht="17.100000000000001" customHeight="1" x14ac:dyDescent="0.2">
      <c r="A332" s="6" t="s">
        <v>359</v>
      </c>
      <c r="B332" s="7">
        <v>46084</v>
      </c>
      <c r="C332" s="8" t="s">
        <v>20</v>
      </c>
      <c r="D332" s="8" t="s">
        <v>21</v>
      </c>
      <c r="E332" s="9">
        <v>30</v>
      </c>
      <c r="F332" s="7">
        <v>46114</v>
      </c>
      <c r="G332" s="10">
        <v>1271.3599999999999</v>
      </c>
      <c r="H332" s="10">
        <v>190.7</v>
      </c>
      <c r="I332" s="10">
        <v>1462.06</v>
      </c>
      <c r="J332" s="9" t="s">
        <v>2</v>
      </c>
      <c r="K332" s="7">
        <v>46122</v>
      </c>
      <c r="L332" s="9" t="s">
        <v>3</v>
      </c>
      <c r="M332" s="11" cm="1">
        <f t="array" ref="M332">IF(Invoices[[#This Row],[Status]]="Open",MAX(0,AsOf-Invoices[[#This Row],[Due Date]]),IF(Invoices[[#This Row],[Paid Date]]="","",MAX(0,Invoices[[#This Row],[Paid Date]]-Invoices[[#This Row],[Due Date]])))</f>
        <v>8</v>
      </c>
      <c r="N33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33" spans="1:14" ht="17.100000000000001" customHeight="1" x14ac:dyDescent="0.2">
      <c r="A333" s="6" t="s">
        <v>360</v>
      </c>
      <c r="B333" s="7">
        <v>46084</v>
      </c>
      <c r="C333" s="8" t="s">
        <v>31</v>
      </c>
      <c r="D333" s="8" t="s">
        <v>6</v>
      </c>
      <c r="E333" s="9">
        <v>60</v>
      </c>
      <c r="F333" s="7">
        <v>46144</v>
      </c>
      <c r="G333" s="10">
        <v>9422.02</v>
      </c>
      <c r="H333" s="10">
        <v>1413.3</v>
      </c>
      <c r="I333" s="10">
        <v>10835.32</v>
      </c>
      <c r="J333" s="9" t="s">
        <v>2</v>
      </c>
      <c r="K333" s="7">
        <v>46144</v>
      </c>
      <c r="L333" s="9" t="s">
        <v>3</v>
      </c>
      <c r="M333" s="11" cm="1">
        <f t="array" ref="M333">IF(Invoices[[#This Row],[Status]]="Open",MAX(0,AsOf-Invoices[[#This Row],[Due Date]]),IF(Invoices[[#This Row],[Paid Date]]="","",MAX(0,Invoices[[#This Row],[Paid Date]]-Invoices[[#This Row],[Due Date]])))</f>
        <v>0</v>
      </c>
      <c r="N33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34" spans="1:14" ht="17.100000000000001" customHeight="1" x14ac:dyDescent="0.2">
      <c r="A334" s="6" t="s">
        <v>361</v>
      </c>
      <c r="B334" s="7">
        <v>46085</v>
      </c>
      <c r="C334" s="8" t="s">
        <v>20</v>
      </c>
      <c r="D334" s="8" t="s">
        <v>21</v>
      </c>
      <c r="E334" s="9">
        <v>30</v>
      </c>
      <c r="F334" s="7">
        <v>46115</v>
      </c>
      <c r="G334" s="10">
        <v>3801.32</v>
      </c>
      <c r="H334" s="10">
        <v>570.20000000000005</v>
      </c>
      <c r="I334" s="10">
        <v>4371.5200000000004</v>
      </c>
      <c r="J334" s="9" t="s">
        <v>2</v>
      </c>
      <c r="K334" s="7">
        <v>46204</v>
      </c>
      <c r="L334" s="9" t="s">
        <v>3</v>
      </c>
      <c r="M334" s="11" cm="1">
        <f t="array" ref="M334">IF(Invoices[[#This Row],[Status]]="Open",MAX(0,AsOf-Invoices[[#This Row],[Due Date]]),IF(Invoices[[#This Row],[Paid Date]]="","",MAX(0,Invoices[[#This Row],[Paid Date]]-Invoices[[#This Row],[Due Date]])))</f>
        <v>89</v>
      </c>
      <c r="N33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35" spans="1:14" ht="17.100000000000001" customHeight="1" x14ac:dyDescent="0.2">
      <c r="A335" s="6" t="s">
        <v>362</v>
      </c>
      <c r="B335" s="7">
        <v>46086</v>
      </c>
      <c r="C335" s="8" t="s">
        <v>5</v>
      </c>
      <c r="D335" s="8" t="s">
        <v>6</v>
      </c>
      <c r="E335" s="9">
        <v>45</v>
      </c>
      <c r="F335" s="7">
        <v>46131</v>
      </c>
      <c r="G335" s="10">
        <v>15302.46</v>
      </c>
      <c r="H335" s="10">
        <v>2295.37</v>
      </c>
      <c r="I335" s="10">
        <v>17597.830000000002</v>
      </c>
      <c r="J335" s="9" t="s">
        <v>2</v>
      </c>
      <c r="K335" s="7">
        <v>46130</v>
      </c>
      <c r="L335" s="9" t="s">
        <v>3</v>
      </c>
      <c r="M335" s="11" cm="1">
        <f t="array" ref="M335">IF(Invoices[[#This Row],[Status]]="Open",MAX(0,AsOf-Invoices[[#This Row],[Due Date]]),IF(Invoices[[#This Row],[Paid Date]]="","",MAX(0,Invoices[[#This Row],[Paid Date]]-Invoices[[#This Row],[Due Date]])))</f>
        <v>0</v>
      </c>
      <c r="N33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36" spans="1:14" ht="17.100000000000001" customHeight="1" x14ac:dyDescent="0.2">
      <c r="A336" s="6" t="s">
        <v>363</v>
      </c>
      <c r="B336" s="7">
        <v>46086</v>
      </c>
      <c r="C336" s="8" t="s">
        <v>13</v>
      </c>
      <c r="D336" s="8" t="s">
        <v>1</v>
      </c>
      <c r="E336" s="9">
        <v>30</v>
      </c>
      <c r="F336" s="7">
        <v>46116</v>
      </c>
      <c r="G336" s="10">
        <v>5461.12</v>
      </c>
      <c r="H336" s="10">
        <v>819.17</v>
      </c>
      <c r="I336" s="10">
        <v>6280.29</v>
      </c>
      <c r="J336" s="9" t="s">
        <v>2</v>
      </c>
      <c r="K336" s="7">
        <v>46120</v>
      </c>
      <c r="L336" s="9" t="s">
        <v>3</v>
      </c>
      <c r="M336" s="11" cm="1">
        <f t="array" ref="M336">IF(Invoices[[#This Row],[Status]]="Open",MAX(0,AsOf-Invoices[[#This Row],[Due Date]]),IF(Invoices[[#This Row],[Paid Date]]="","",MAX(0,Invoices[[#This Row],[Paid Date]]-Invoices[[#This Row],[Due Date]])))</f>
        <v>4</v>
      </c>
      <c r="N33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37" spans="1:14" ht="17.100000000000001" customHeight="1" x14ac:dyDescent="0.2">
      <c r="A337" s="6" t="s">
        <v>364</v>
      </c>
      <c r="B337" s="7">
        <v>46089</v>
      </c>
      <c r="C337" s="8" t="s">
        <v>95</v>
      </c>
      <c r="D337" s="8" t="s">
        <v>62</v>
      </c>
      <c r="E337" s="9">
        <v>15</v>
      </c>
      <c r="F337" s="7">
        <v>46104</v>
      </c>
      <c r="G337" s="10">
        <v>1938.57</v>
      </c>
      <c r="H337" s="10">
        <v>290.79000000000002</v>
      </c>
      <c r="I337" s="10">
        <v>2229.36</v>
      </c>
      <c r="J337" s="9" t="s">
        <v>2</v>
      </c>
      <c r="K337" s="7">
        <v>46101</v>
      </c>
      <c r="L337" s="9" t="s">
        <v>3</v>
      </c>
      <c r="M337" s="11" cm="1">
        <f t="array" ref="M337">IF(Invoices[[#This Row],[Status]]="Open",MAX(0,AsOf-Invoices[[#This Row],[Due Date]]),IF(Invoices[[#This Row],[Paid Date]]="","",MAX(0,Invoices[[#This Row],[Paid Date]]-Invoices[[#This Row],[Due Date]])))</f>
        <v>0</v>
      </c>
      <c r="N33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38" spans="1:14" ht="17.100000000000001" customHeight="1" x14ac:dyDescent="0.2">
      <c r="A338" s="6" t="s">
        <v>365</v>
      </c>
      <c r="B338" s="7">
        <v>46089</v>
      </c>
      <c r="C338" s="8" t="s">
        <v>31</v>
      </c>
      <c r="D338" s="8" t="s">
        <v>6</v>
      </c>
      <c r="E338" s="9">
        <v>60</v>
      </c>
      <c r="F338" s="7">
        <v>46149</v>
      </c>
      <c r="G338" s="10">
        <v>7354.63</v>
      </c>
      <c r="H338" s="10">
        <v>1103.19</v>
      </c>
      <c r="I338" s="10">
        <v>8457.82</v>
      </c>
      <c r="J338" s="9" t="s">
        <v>2</v>
      </c>
      <c r="K338" s="7">
        <v>46145</v>
      </c>
      <c r="L338" s="9" t="s">
        <v>3</v>
      </c>
      <c r="M338" s="11" cm="1">
        <f t="array" ref="M338">IF(Invoices[[#This Row],[Status]]="Open",MAX(0,AsOf-Invoices[[#This Row],[Due Date]]),IF(Invoices[[#This Row],[Paid Date]]="","",MAX(0,Invoices[[#This Row],[Paid Date]]-Invoices[[#This Row],[Due Date]])))</f>
        <v>0</v>
      </c>
      <c r="N33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39" spans="1:14" ht="17.100000000000001" customHeight="1" x14ac:dyDescent="0.2">
      <c r="A339" s="6" t="s">
        <v>366</v>
      </c>
      <c r="B339" s="7">
        <v>46089</v>
      </c>
      <c r="C339" s="8" t="s">
        <v>10</v>
      </c>
      <c r="D339" s="8" t="s">
        <v>11</v>
      </c>
      <c r="E339" s="9">
        <v>30</v>
      </c>
      <c r="F339" s="7">
        <v>46119</v>
      </c>
      <c r="G339" s="10">
        <v>4592.8</v>
      </c>
      <c r="H339" s="10">
        <v>688.92</v>
      </c>
      <c r="I339" s="10">
        <v>5281.72</v>
      </c>
      <c r="J339" s="9" t="s">
        <v>2</v>
      </c>
      <c r="K339" s="7">
        <v>46114</v>
      </c>
      <c r="L339" s="9" t="s">
        <v>3</v>
      </c>
      <c r="M339" s="11" cm="1">
        <f t="array" ref="M339">IF(Invoices[[#This Row],[Status]]="Open",MAX(0,AsOf-Invoices[[#This Row],[Due Date]]),IF(Invoices[[#This Row],[Paid Date]]="","",MAX(0,Invoices[[#This Row],[Paid Date]]-Invoices[[#This Row],[Due Date]])))</f>
        <v>0</v>
      </c>
      <c r="N33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40" spans="1:14" ht="17.100000000000001" customHeight="1" x14ac:dyDescent="0.2">
      <c r="A340" s="6" t="s">
        <v>367</v>
      </c>
      <c r="B340" s="7">
        <v>46089</v>
      </c>
      <c r="C340" s="8" t="s">
        <v>5</v>
      </c>
      <c r="D340" s="8" t="s">
        <v>6</v>
      </c>
      <c r="E340" s="9">
        <v>45</v>
      </c>
      <c r="F340" s="7">
        <v>46134</v>
      </c>
      <c r="G340" s="10">
        <v>19418.87</v>
      </c>
      <c r="H340" s="10">
        <v>2912.83</v>
      </c>
      <c r="I340" s="10">
        <v>22331.7</v>
      </c>
      <c r="J340" s="9" t="s">
        <v>2</v>
      </c>
      <c r="K340" s="7">
        <v>46134</v>
      </c>
      <c r="L340" s="9" t="s">
        <v>3</v>
      </c>
      <c r="M340" s="11" cm="1">
        <f t="array" ref="M340">IF(Invoices[[#This Row],[Status]]="Open",MAX(0,AsOf-Invoices[[#This Row],[Due Date]]),IF(Invoices[[#This Row],[Paid Date]]="","",MAX(0,Invoices[[#This Row],[Paid Date]]-Invoices[[#This Row],[Due Date]])))</f>
        <v>0</v>
      </c>
      <c r="N34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41" spans="1:14" ht="17.100000000000001" customHeight="1" x14ac:dyDescent="0.2">
      <c r="A341" s="6" t="s">
        <v>368</v>
      </c>
      <c r="B341" s="7">
        <v>46089</v>
      </c>
      <c r="C341" s="8" t="s">
        <v>54</v>
      </c>
      <c r="D341" s="8" t="s">
        <v>11</v>
      </c>
      <c r="E341" s="9">
        <v>30</v>
      </c>
      <c r="F341" s="7">
        <v>46119</v>
      </c>
      <c r="G341" s="10">
        <v>5180.16</v>
      </c>
      <c r="H341" s="10">
        <v>777.02</v>
      </c>
      <c r="I341" s="10">
        <v>5957.18</v>
      </c>
      <c r="J341" s="9" t="s">
        <v>2</v>
      </c>
      <c r="K341" s="7">
        <v>46122</v>
      </c>
      <c r="L341" s="9" t="s">
        <v>3</v>
      </c>
      <c r="M341" s="11" cm="1">
        <f t="array" ref="M341">IF(Invoices[[#This Row],[Status]]="Open",MAX(0,AsOf-Invoices[[#This Row],[Due Date]]),IF(Invoices[[#This Row],[Paid Date]]="","",MAX(0,Invoices[[#This Row],[Paid Date]]-Invoices[[#This Row],[Due Date]])))</f>
        <v>3</v>
      </c>
      <c r="N34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42" spans="1:14" ht="17.100000000000001" customHeight="1" x14ac:dyDescent="0.2">
      <c r="A342" s="6" t="s">
        <v>369</v>
      </c>
      <c r="B342" s="7">
        <v>46092</v>
      </c>
      <c r="C342" s="8" t="s">
        <v>5</v>
      </c>
      <c r="D342" s="8" t="s">
        <v>6</v>
      </c>
      <c r="E342" s="9">
        <v>45</v>
      </c>
      <c r="F342" s="7">
        <v>46137</v>
      </c>
      <c r="G342" s="10">
        <v>9986.84</v>
      </c>
      <c r="H342" s="10">
        <v>1498.03</v>
      </c>
      <c r="I342" s="10">
        <v>11484.87</v>
      </c>
      <c r="J342" s="9" t="s">
        <v>2</v>
      </c>
      <c r="K342" s="7">
        <v>46144</v>
      </c>
      <c r="L342" s="9" t="s">
        <v>3</v>
      </c>
      <c r="M342" s="11" cm="1">
        <f t="array" ref="M342">IF(Invoices[[#This Row],[Status]]="Open",MAX(0,AsOf-Invoices[[#This Row],[Due Date]]),IF(Invoices[[#This Row],[Paid Date]]="","",MAX(0,Invoices[[#This Row],[Paid Date]]-Invoices[[#This Row],[Due Date]])))</f>
        <v>7</v>
      </c>
      <c r="N34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43" spans="1:14" ht="17.100000000000001" customHeight="1" x14ac:dyDescent="0.2">
      <c r="A343" s="6" t="s">
        <v>370</v>
      </c>
      <c r="B343" s="7">
        <v>46092</v>
      </c>
      <c r="C343" s="8" t="s">
        <v>16</v>
      </c>
      <c r="D343" s="8" t="s">
        <v>17</v>
      </c>
      <c r="E343" s="9">
        <v>30</v>
      </c>
      <c r="F343" s="7">
        <v>46122</v>
      </c>
      <c r="G343" s="10">
        <v>675.69</v>
      </c>
      <c r="H343" s="10">
        <v>101.35</v>
      </c>
      <c r="I343" s="10">
        <v>777.04</v>
      </c>
      <c r="J343" s="9" t="s">
        <v>2</v>
      </c>
      <c r="K343" s="7">
        <v>46124</v>
      </c>
      <c r="L343" s="9" t="s">
        <v>3</v>
      </c>
      <c r="M343" s="11" cm="1">
        <f t="array" ref="M343">IF(Invoices[[#This Row],[Status]]="Open",MAX(0,AsOf-Invoices[[#This Row],[Due Date]]),IF(Invoices[[#This Row],[Paid Date]]="","",MAX(0,Invoices[[#This Row],[Paid Date]]-Invoices[[#This Row],[Due Date]])))</f>
        <v>2</v>
      </c>
      <c r="N34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44" spans="1:14" ht="17.100000000000001" customHeight="1" x14ac:dyDescent="0.2">
      <c r="A344" s="6" t="s">
        <v>371</v>
      </c>
      <c r="B344" s="7">
        <v>46092</v>
      </c>
      <c r="C344" s="8" t="s">
        <v>31</v>
      </c>
      <c r="D344" s="8" t="s">
        <v>6</v>
      </c>
      <c r="E344" s="9">
        <v>60</v>
      </c>
      <c r="F344" s="7">
        <v>46152</v>
      </c>
      <c r="G344" s="10">
        <v>11435.04</v>
      </c>
      <c r="H344" s="10">
        <v>1715.26</v>
      </c>
      <c r="I344" s="10">
        <v>13150.3</v>
      </c>
      <c r="J344" s="9" t="s">
        <v>2</v>
      </c>
      <c r="K344" s="7">
        <v>46147</v>
      </c>
      <c r="L344" s="9" t="s">
        <v>3</v>
      </c>
      <c r="M344" s="11" cm="1">
        <f t="array" ref="M344">IF(Invoices[[#This Row],[Status]]="Open",MAX(0,AsOf-Invoices[[#This Row],[Due Date]]),IF(Invoices[[#This Row],[Paid Date]]="","",MAX(0,Invoices[[#This Row],[Paid Date]]-Invoices[[#This Row],[Due Date]])))</f>
        <v>0</v>
      </c>
      <c r="N34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45" spans="1:14" ht="17.100000000000001" customHeight="1" x14ac:dyDescent="0.2">
      <c r="A345" s="6" t="s">
        <v>372</v>
      </c>
      <c r="B345" s="7">
        <v>46096</v>
      </c>
      <c r="C345" s="8" t="s">
        <v>13</v>
      </c>
      <c r="D345" s="8" t="s">
        <v>1</v>
      </c>
      <c r="E345" s="9">
        <v>30</v>
      </c>
      <c r="F345" s="7">
        <v>46126</v>
      </c>
      <c r="G345" s="10">
        <v>4701.4799999999996</v>
      </c>
      <c r="H345" s="10">
        <v>705.22</v>
      </c>
      <c r="I345" s="10">
        <v>5406.7</v>
      </c>
      <c r="J345" s="9" t="s">
        <v>2</v>
      </c>
      <c r="K345" s="7">
        <v>46129</v>
      </c>
      <c r="L345" s="9" t="s">
        <v>3</v>
      </c>
      <c r="M345" s="11" cm="1">
        <f t="array" ref="M345">IF(Invoices[[#This Row],[Status]]="Open",MAX(0,AsOf-Invoices[[#This Row],[Due Date]]),IF(Invoices[[#This Row],[Paid Date]]="","",MAX(0,Invoices[[#This Row],[Paid Date]]-Invoices[[#This Row],[Due Date]])))</f>
        <v>3</v>
      </c>
      <c r="N34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46" spans="1:14" ht="17.100000000000001" customHeight="1" x14ac:dyDescent="0.2">
      <c r="A346" s="6" t="s">
        <v>373</v>
      </c>
      <c r="B346" s="7">
        <v>46096</v>
      </c>
      <c r="C346" s="8" t="s">
        <v>95</v>
      </c>
      <c r="D346" s="8" t="s">
        <v>62</v>
      </c>
      <c r="E346" s="9">
        <v>15</v>
      </c>
      <c r="F346" s="7">
        <v>46111</v>
      </c>
      <c r="G346" s="10">
        <v>1391.36</v>
      </c>
      <c r="H346" s="10">
        <v>208.7</v>
      </c>
      <c r="I346" s="10">
        <v>1600.06</v>
      </c>
      <c r="J346" s="9" t="s">
        <v>2</v>
      </c>
      <c r="K346" s="7">
        <v>46113</v>
      </c>
      <c r="L346" s="9" t="s">
        <v>3</v>
      </c>
      <c r="M346" s="11" cm="1">
        <f t="array" ref="M346">IF(Invoices[[#This Row],[Status]]="Open",MAX(0,AsOf-Invoices[[#This Row],[Due Date]]),IF(Invoices[[#This Row],[Paid Date]]="","",MAX(0,Invoices[[#This Row],[Paid Date]]-Invoices[[#This Row],[Due Date]])))</f>
        <v>2</v>
      </c>
      <c r="N34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47" spans="1:14" ht="17.100000000000001" customHeight="1" x14ac:dyDescent="0.2">
      <c r="A347" s="6" t="s">
        <v>374</v>
      </c>
      <c r="B347" s="7">
        <v>46096</v>
      </c>
      <c r="C347" s="8" t="s">
        <v>54</v>
      </c>
      <c r="D347" s="8" t="s">
        <v>11</v>
      </c>
      <c r="E347" s="9">
        <v>30</v>
      </c>
      <c r="F347" s="7">
        <v>46126</v>
      </c>
      <c r="G347" s="10">
        <v>16725.97</v>
      </c>
      <c r="H347" s="10">
        <v>2508.9</v>
      </c>
      <c r="I347" s="10">
        <v>19234.87</v>
      </c>
      <c r="J347" s="9" t="s">
        <v>2</v>
      </c>
      <c r="K347" s="7">
        <v>46186</v>
      </c>
      <c r="L347" s="9" t="s">
        <v>3</v>
      </c>
      <c r="M347" s="11" cm="1">
        <f t="array" ref="M347">IF(Invoices[[#This Row],[Status]]="Open",MAX(0,AsOf-Invoices[[#This Row],[Due Date]]),IF(Invoices[[#This Row],[Paid Date]]="","",MAX(0,Invoices[[#This Row],[Paid Date]]-Invoices[[#This Row],[Due Date]])))</f>
        <v>60</v>
      </c>
      <c r="N34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48" spans="1:14" ht="17.100000000000001" customHeight="1" x14ac:dyDescent="0.2">
      <c r="A348" s="6" t="s">
        <v>375</v>
      </c>
      <c r="B348" s="7">
        <v>46096</v>
      </c>
      <c r="C348" s="8" t="s">
        <v>75</v>
      </c>
      <c r="D348" s="8" t="s">
        <v>21</v>
      </c>
      <c r="E348" s="9">
        <v>30</v>
      </c>
      <c r="F348" s="7">
        <v>46126</v>
      </c>
      <c r="G348" s="10">
        <v>2762.93</v>
      </c>
      <c r="H348" s="10">
        <v>414.44</v>
      </c>
      <c r="I348" s="10">
        <v>3177.37</v>
      </c>
      <c r="J348" s="9" t="s">
        <v>2</v>
      </c>
      <c r="K348" s="7">
        <v>46121</v>
      </c>
      <c r="L348" s="9" t="s">
        <v>3</v>
      </c>
      <c r="M348" s="11" cm="1">
        <f t="array" ref="M348">IF(Invoices[[#This Row],[Status]]="Open",MAX(0,AsOf-Invoices[[#This Row],[Due Date]]),IF(Invoices[[#This Row],[Paid Date]]="","",MAX(0,Invoices[[#This Row],[Paid Date]]-Invoices[[#This Row],[Due Date]])))</f>
        <v>0</v>
      </c>
      <c r="N34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49" spans="1:14" ht="17.100000000000001" customHeight="1" x14ac:dyDescent="0.2">
      <c r="A349" s="6" t="s">
        <v>376</v>
      </c>
      <c r="B349" s="7">
        <v>46096</v>
      </c>
      <c r="C349" s="8" t="s">
        <v>13</v>
      </c>
      <c r="D349" s="8" t="s">
        <v>1</v>
      </c>
      <c r="E349" s="9">
        <v>30</v>
      </c>
      <c r="F349" s="7">
        <v>46126</v>
      </c>
      <c r="G349" s="10">
        <v>4082.28</v>
      </c>
      <c r="H349" s="10">
        <v>612.34</v>
      </c>
      <c r="I349" s="10">
        <v>4694.62</v>
      </c>
      <c r="J349" s="9" t="s">
        <v>2</v>
      </c>
      <c r="K349" s="7">
        <v>46122</v>
      </c>
      <c r="L349" s="9" t="s">
        <v>3</v>
      </c>
      <c r="M349" s="11" cm="1">
        <f t="array" ref="M349">IF(Invoices[[#This Row],[Status]]="Open",MAX(0,AsOf-Invoices[[#This Row],[Due Date]]),IF(Invoices[[#This Row],[Paid Date]]="","",MAX(0,Invoices[[#This Row],[Paid Date]]-Invoices[[#This Row],[Due Date]])))</f>
        <v>0</v>
      </c>
      <c r="N34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50" spans="1:14" ht="17.100000000000001" customHeight="1" x14ac:dyDescent="0.2">
      <c r="A350" s="6" t="s">
        <v>377</v>
      </c>
      <c r="B350" s="7">
        <v>46097</v>
      </c>
      <c r="C350" s="8" t="s">
        <v>13</v>
      </c>
      <c r="D350" s="8" t="s">
        <v>1</v>
      </c>
      <c r="E350" s="9">
        <v>30</v>
      </c>
      <c r="F350" s="7">
        <v>46127</v>
      </c>
      <c r="G350" s="10">
        <v>2685.39</v>
      </c>
      <c r="H350" s="10">
        <v>402.81</v>
      </c>
      <c r="I350" s="10">
        <v>3088.2</v>
      </c>
      <c r="J350" s="9" t="s">
        <v>2</v>
      </c>
      <c r="K350" s="7">
        <v>46133</v>
      </c>
      <c r="L350" s="9" t="s">
        <v>3</v>
      </c>
      <c r="M350" s="11" cm="1">
        <f t="array" ref="M350">IF(Invoices[[#This Row],[Status]]="Open",MAX(0,AsOf-Invoices[[#This Row],[Due Date]]),IF(Invoices[[#This Row],[Paid Date]]="","",MAX(0,Invoices[[#This Row],[Paid Date]]-Invoices[[#This Row],[Due Date]])))</f>
        <v>6</v>
      </c>
      <c r="N35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51" spans="1:14" ht="17.100000000000001" customHeight="1" x14ac:dyDescent="0.2">
      <c r="A351" s="6" t="s">
        <v>378</v>
      </c>
      <c r="B351" s="7">
        <v>46097</v>
      </c>
      <c r="C351" s="8" t="s">
        <v>8</v>
      </c>
      <c r="D351" s="8" t="s">
        <v>6</v>
      </c>
      <c r="E351" s="9">
        <v>45</v>
      </c>
      <c r="F351" s="7">
        <v>46142</v>
      </c>
      <c r="G351" s="10">
        <v>12989.6</v>
      </c>
      <c r="H351" s="10">
        <v>1948.44</v>
      </c>
      <c r="I351" s="10">
        <v>14938.04</v>
      </c>
      <c r="J351" s="9" t="s">
        <v>2</v>
      </c>
      <c r="K351" s="7">
        <v>46150</v>
      </c>
      <c r="L351" s="9" t="s">
        <v>3</v>
      </c>
      <c r="M351" s="11" cm="1">
        <f t="array" ref="M351">IF(Invoices[[#This Row],[Status]]="Open",MAX(0,AsOf-Invoices[[#This Row],[Due Date]]),IF(Invoices[[#This Row],[Paid Date]]="","",MAX(0,Invoices[[#This Row],[Paid Date]]-Invoices[[#This Row],[Due Date]])))</f>
        <v>8</v>
      </c>
      <c r="N35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52" spans="1:14" ht="17.100000000000001" customHeight="1" x14ac:dyDescent="0.2">
      <c r="A352" s="6" t="s">
        <v>379</v>
      </c>
      <c r="B352" s="7">
        <v>46097</v>
      </c>
      <c r="C352" s="8" t="s">
        <v>8</v>
      </c>
      <c r="D352" s="8" t="s">
        <v>6</v>
      </c>
      <c r="E352" s="9">
        <v>45</v>
      </c>
      <c r="F352" s="7">
        <v>46142</v>
      </c>
      <c r="G352" s="10">
        <v>12587.55</v>
      </c>
      <c r="H352" s="10">
        <v>1888.13</v>
      </c>
      <c r="I352" s="10">
        <v>14475.68</v>
      </c>
      <c r="J352" s="9" t="s">
        <v>2</v>
      </c>
      <c r="K352" s="7">
        <v>46214</v>
      </c>
      <c r="L352" s="9" t="s">
        <v>3</v>
      </c>
      <c r="M352" s="11" cm="1">
        <f t="array" ref="M352">IF(Invoices[[#This Row],[Status]]="Open",MAX(0,AsOf-Invoices[[#This Row],[Due Date]]),IF(Invoices[[#This Row],[Paid Date]]="","",MAX(0,Invoices[[#This Row],[Paid Date]]-Invoices[[#This Row],[Due Date]])))</f>
        <v>72</v>
      </c>
      <c r="N35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53" spans="1:14" ht="17.100000000000001" customHeight="1" x14ac:dyDescent="0.2">
      <c r="A353" s="6" t="s">
        <v>380</v>
      </c>
      <c r="B353" s="7">
        <v>46097</v>
      </c>
      <c r="C353" s="8" t="s">
        <v>56</v>
      </c>
      <c r="D353" s="8" t="s">
        <v>17</v>
      </c>
      <c r="E353" s="9">
        <v>30</v>
      </c>
      <c r="F353" s="7">
        <v>46127</v>
      </c>
      <c r="G353" s="10">
        <v>1022.88</v>
      </c>
      <c r="H353" s="10">
        <v>153.43</v>
      </c>
      <c r="I353" s="10">
        <v>1176.31</v>
      </c>
      <c r="J353" s="9" t="s">
        <v>2</v>
      </c>
      <c r="K353" s="7">
        <v>46132</v>
      </c>
      <c r="L353" s="9" t="s">
        <v>3</v>
      </c>
      <c r="M353" s="11" cm="1">
        <f t="array" ref="M353">IF(Invoices[[#This Row],[Status]]="Open",MAX(0,AsOf-Invoices[[#This Row],[Due Date]]),IF(Invoices[[#This Row],[Paid Date]]="","",MAX(0,Invoices[[#This Row],[Paid Date]]-Invoices[[#This Row],[Due Date]])))</f>
        <v>5</v>
      </c>
      <c r="N35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54" spans="1:14" ht="17.100000000000001" customHeight="1" x14ac:dyDescent="0.2">
      <c r="A354" s="6" t="s">
        <v>381</v>
      </c>
      <c r="B354" s="7">
        <v>46097</v>
      </c>
      <c r="C354" s="8" t="s">
        <v>10</v>
      </c>
      <c r="D354" s="8" t="s">
        <v>11</v>
      </c>
      <c r="E354" s="9">
        <v>30</v>
      </c>
      <c r="F354" s="7">
        <v>46127</v>
      </c>
      <c r="G354" s="10">
        <v>7527.97</v>
      </c>
      <c r="H354" s="10">
        <v>1129.2</v>
      </c>
      <c r="I354" s="10">
        <v>8657.17</v>
      </c>
      <c r="J354" s="9" t="s">
        <v>2</v>
      </c>
      <c r="K354" s="7">
        <v>46123</v>
      </c>
      <c r="L354" s="9" t="s">
        <v>3</v>
      </c>
      <c r="M354" s="11" cm="1">
        <f t="array" ref="M354">IF(Invoices[[#This Row],[Status]]="Open",MAX(0,AsOf-Invoices[[#This Row],[Due Date]]),IF(Invoices[[#This Row],[Paid Date]]="","",MAX(0,Invoices[[#This Row],[Paid Date]]-Invoices[[#This Row],[Due Date]])))</f>
        <v>0</v>
      </c>
      <c r="N35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55" spans="1:14" ht="17.100000000000001" customHeight="1" x14ac:dyDescent="0.2">
      <c r="A355" s="6" t="s">
        <v>382</v>
      </c>
      <c r="B355" s="7">
        <v>46097</v>
      </c>
      <c r="C355" s="8" t="s">
        <v>8</v>
      </c>
      <c r="D355" s="8" t="s">
        <v>6</v>
      </c>
      <c r="E355" s="9">
        <v>45</v>
      </c>
      <c r="F355" s="7">
        <v>46142</v>
      </c>
      <c r="G355" s="10">
        <v>8800.4</v>
      </c>
      <c r="H355" s="10">
        <v>1320.06</v>
      </c>
      <c r="I355" s="10">
        <v>10120.459999999999</v>
      </c>
      <c r="J355" s="9" t="s">
        <v>2</v>
      </c>
      <c r="K355" s="7">
        <v>46142</v>
      </c>
      <c r="L355" s="9" t="s">
        <v>3</v>
      </c>
      <c r="M355" s="11" cm="1">
        <f t="array" ref="M355">IF(Invoices[[#This Row],[Status]]="Open",MAX(0,AsOf-Invoices[[#This Row],[Due Date]]),IF(Invoices[[#This Row],[Paid Date]]="","",MAX(0,Invoices[[#This Row],[Paid Date]]-Invoices[[#This Row],[Due Date]])))</f>
        <v>0</v>
      </c>
      <c r="N35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56" spans="1:14" ht="17.100000000000001" customHeight="1" x14ac:dyDescent="0.2">
      <c r="A356" s="6" t="s">
        <v>383</v>
      </c>
      <c r="B356" s="7">
        <v>46097</v>
      </c>
      <c r="C356" s="8" t="s">
        <v>31</v>
      </c>
      <c r="D356" s="8" t="s">
        <v>6</v>
      </c>
      <c r="E356" s="9">
        <v>60</v>
      </c>
      <c r="F356" s="7">
        <v>46157</v>
      </c>
      <c r="G356" s="10">
        <v>4503.5600000000004</v>
      </c>
      <c r="H356" s="10">
        <v>675.53</v>
      </c>
      <c r="I356" s="10">
        <v>5179.09</v>
      </c>
      <c r="J356" s="9" t="s">
        <v>2</v>
      </c>
      <c r="K356" s="7">
        <v>46159</v>
      </c>
      <c r="L356" s="9" t="s">
        <v>3</v>
      </c>
      <c r="M356" s="11" cm="1">
        <f t="array" ref="M356">IF(Invoices[[#This Row],[Status]]="Open",MAX(0,AsOf-Invoices[[#This Row],[Due Date]]),IF(Invoices[[#This Row],[Paid Date]]="","",MAX(0,Invoices[[#This Row],[Paid Date]]-Invoices[[#This Row],[Due Date]])))</f>
        <v>2</v>
      </c>
      <c r="N35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57" spans="1:14" ht="17.100000000000001" customHeight="1" x14ac:dyDescent="0.2">
      <c r="A357" s="6" t="s">
        <v>384</v>
      </c>
      <c r="B357" s="7">
        <v>46097</v>
      </c>
      <c r="C357" s="8" t="s">
        <v>31</v>
      </c>
      <c r="D357" s="8" t="s">
        <v>6</v>
      </c>
      <c r="E357" s="9">
        <v>60</v>
      </c>
      <c r="F357" s="7">
        <v>46157</v>
      </c>
      <c r="G357" s="10">
        <v>11808.29</v>
      </c>
      <c r="H357" s="10">
        <v>1771.24</v>
      </c>
      <c r="I357" s="10">
        <v>13579.53</v>
      </c>
      <c r="J357" s="9" t="s">
        <v>2</v>
      </c>
      <c r="K357" s="7">
        <v>46157</v>
      </c>
      <c r="L357" s="9" t="s">
        <v>3</v>
      </c>
      <c r="M357" s="11" cm="1">
        <f t="array" ref="M357">IF(Invoices[[#This Row],[Status]]="Open",MAX(0,AsOf-Invoices[[#This Row],[Due Date]]),IF(Invoices[[#This Row],[Paid Date]]="","",MAX(0,Invoices[[#This Row],[Paid Date]]-Invoices[[#This Row],[Due Date]])))</f>
        <v>0</v>
      </c>
      <c r="N35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58" spans="1:14" ht="17.100000000000001" customHeight="1" x14ac:dyDescent="0.2">
      <c r="A358" s="6" t="s">
        <v>385</v>
      </c>
      <c r="B358" s="7">
        <v>46098</v>
      </c>
      <c r="C358" s="8" t="s">
        <v>24</v>
      </c>
      <c r="D358" s="8" t="s">
        <v>25</v>
      </c>
      <c r="E358" s="9">
        <v>60</v>
      </c>
      <c r="F358" s="7">
        <v>46158</v>
      </c>
      <c r="G358" s="10">
        <v>8239.36</v>
      </c>
      <c r="H358" s="10">
        <v>1235.9000000000001</v>
      </c>
      <c r="I358" s="10">
        <v>9475.26</v>
      </c>
      <c r="J358" s="9" t="s">
        <v>2</v>
      </c>
      <c r="K358" s="7">
        <v>46153</v>
      </c>
      <c r="L358" s="9" t="s">
        <v>3</v>
      </c>
      <c r="M358" s="11" cm="1">
        <f t="array" ref="M358">IF(Invoices[[#This Row],[Status]]="Open",MAX(0,AsOf-Invoices[[#This Row],[Due Date]]),IF(Invoices[[#This Row],[Paid Date]]="","",MAX(0,Invoices[[#This Row],[Paid Date]]-Invoices[[#This Row],[Due Date]])))</f>
        <v>0</v>
      </c>
      <c r="N35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59" spans="1:14" ht="17.100000000000001" customHeight="1" x14ac:dyDescent="0.2">
      <c r="A359" s="6" t="s">
        <v>386</v>
      </c>
      <c r="B359" s="7">
        <v>46098</v>
      </c>
      <c r="C359" s="8" t="s">
        <v>13</v>
      </c>
      <c r="D359" s="8" t="s">
        <v>1</v>
      </c>
      <c r="E359" s="9">
        <v>30</v>
      </c>
      <c r="F359" s="7">
        <v>46128</v>
      </c>
      <c r="G359" s="10">
        <v>4324.04</v>
      </c>
      <c r="H359" s="10">
        <v>648.61</v>
      </c>
      <c r="I359" s="10">
        <v>4972.6499999999996</v>
      </c>
      <c r="J359" s="9" t="s">
        <v>2</v>
      </c>
      <c r="K359" s="7">
        <v>46129</v>
      </c>
      <c r="L359" s="9" t="s">
        <v>3</v>
      </c>
      <c r="M359" s="11" cm="1">
        <f t="array" ref="M359">IF(Invoices[[#This Row],[Status]]="Open",MAX(0,AsOf-Invoices[[#This Row],[Due Date]]),IF(Invoices[[#This Row],[Paid Date]]="","",MAX(0,Invoices[[#This Row],[Paid Date]]-Invoices[[#This Row],[Due Date]])))</f>
        <v>1</v>
      </c>
      <c r="N35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60" spans="1:14" ht="17.100000000000001" customHeight="1" x14ac:dyDescent="0.2">
      <c r="A360" s="6" t="s">
        <v>387</v>
      </c>
      <c r="B360" s="7">
        <v>46098</v>
      </c>
      <c r="C360" s="8" t="s">
        <v>31</v>
      </c>
      <c r="D360" s="8" t="s">
        <v>6</v>
      </c>
      <c r="E360" s="9">
        <v>60</v>
      </c>
      <c r="F360" s="7">
        <v>46158</v>
      </c>
      <c r="G360" s="10">
        <v>4986.54</v>
      </c>
      <c r="H360" s="10">
        <v>747.98</v>
      </c>
      <c r="I360" s="10">
        <v>5734.52</v>
      </c>
      <c r="J360" s="9" t="s">
        <v>2</v>
      </c>
      <c r="K360" s="7">
        <v>46161</v>
      </c>
      <c r="L360" s="9" t="s">
        <v>3</v>
      </c>
      <c r="M360" s="11" cm="1">
        <f t="array" ref="M360">IF(Invoices[[#This Row],[Status]]="Open",MAX(0,AsOf-Invoices[[#This Row],[Due Date]]),IF(Invoices[[#This Row],[Paid Date]]="","",MAX(0,Invoices[[#This Row],[Paid Date]]-Invoices[[#This Row],[Due Date]])))</f>
        <v>3</v>
      </c>
      <c r="N36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61" spans="1:14" ht="17.100000000000001" customHeight="1" x14ac:dyDescent="0.2">
      <c r="A361" s="6" t="s">
        <v>388</v>
      </c>
      <c r="B361" s="7">
        <v>46099</v>
      </c>
      <c r="C361" s="8" t="s">
        <v>36</v>
      </c>
      <c r="D361" s="8" t="s">
        <v>17</v>
      </c>
      <c r="E361" s="9">
        <v>30</v>
      </c>
      <c r="F361" s="7">
        <v>46129</v>
      </c>
      <c r="G361" s="10">
        <v>1312.95</v>
      </c>
      <c r="H361" s="10">
        <v>196.94</v>
      </c>
      <c r="I361" s="10">
        <v>1509.89</v>
      </c>
      <c r="J361" s="9" t="s">
        <v>2</v>
      </c>
      <c r="K361" s="7">
        <v>46184</v>
      </c>
      <c r="L361" s="9" t="s">
        <v>3</v>
      </c>
      <c r="M361" s="11" cm="1">
        <f t="array" ref="M361">IF(Invoices[[#This Row],[Status]]="Open",MAX(0,AsOf-Invoices[[#This Row],[Due Date]]),IF(Invoices[[#This Row],[Paid Date]]="","",MAX(0,Invoices[[#This Row],[Paid Date]]-Invoices[[#This Row],[Due Date]])))</f>
        <v>55</v>
      </c>
      <c r="N36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62" spans="1:14" ht="17.100000000000001" customHeight="1" x14ac:dyDescent="0.2">
      <c r="A362" s="6" t="s">
        <v>389</v>
      </c>
      <c r="B362" s="7">
        <v>46099</v>
      </c>
      <c r="C362" s="8" t="s">
        <v>5</v>
      </c>
      <c r="D362" s="8" t="s">
        <v>6</v>
      </c>
      <c r="E362" s="9">
        <v>45</v>
      </c>
      <c r="F362" s="7">
        <v>46144</v>
      </c>
      <c r="G362" s="10">
        <v>7560.57</v>
      </c>
      <c r="H362" s="10">
        <v>1134.0899999999999</v>
      </c>
      <c r="I362" s="10">
        <v>8694.66</v>
      </c>
      <c r="J362" s="9" t="s">
        <v>2</v>
      </c>
      <c r="K362" s="7">
        <v>46139</v>
      </c>
      <c r="L362" s="9" t="s">
        <v>3</v>
      </c>
      <c r="M362" s="11" cm="1">
        <f t="array" ref="M362">IF(Invoices[[#This Row],[Status]]="Open",MAX(0,AsOf-Invoices[[#This Row],[Due Date]]),IF(Invoices[[#This Row],[Paid Date]]="","",MAX(0,Invoices[[#This Row],[Paid Date]]-Invoices[[#This Row],[Due Date]])))</f>
        <v>0</v>
      </c>
      <c r="N36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63" spans="1:14" ht="17.100000000000001" customHeight="1" x14ac:dyDescent="0.2">
      <c r="A363" s="6" t="s">
        <v>390</v>
      </c>
      <c r="B363" s="7">
        <v>46099</v>
      </c>
      <c r="C363" s="8" t="s">
        <v>10</v>
      </c>
      <c r="D363" s="8" t="s">
        <v>11</v>
      </c>
      <c r="E363" s="9">
        <v>30</v>
      </c>
      <c r="F363" s="7">
        <v>46129</v>
      </c>
      <c r="G363" s="10">
        <v>5021.92</v>
      </c>
      <c r="H363" s="10">
        <v>753.29</v>
      </c>
      <c r="I363" s="10">
        <v>5775.21</v>
      </c>
      <c r="J363" s="9" t="s">
        <v>2</v>
      </c>
      <c r="K363" s="7">
        <v>46133</v>
      </c>
      <c r="L363" s="9" t="s">
        <v>3</v>
      </c>
      <c r="M363" s="11" cm="1">
        <f t="array" ref="M363">IF(Invoices[[#This Row],[Status]]="Open",MAX(0,AsOf-Invoices[[#This Row],[Due Date]]),IF(Invoices[[#This Row],[Paid Date]]="","",MAX(0,Invoices[[#This Row],[Paid Date]]-Invoices[[#This Row],[Due Date]])))</f>
        <v>4</v>
      </c>
      <c r="N36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64" spans="1:14" ht="17.100000000000001" customHeight="1" x14ac:dyDescent="0.2">
      <c r="A364" s="6" t="s">
        <v>391</v>
      </c>
      <c r="B364" s="7">
        <v>46099</v>
      </c>
      <c r="C364" s="8" t="s">
        <v>31</v>
      </c>
      <c r="D364" s="8" t="s">
        <v>6</v>
      </c>
      <c r="E364" s="9">
        <v>60</v>
      </c>
      <c r="F364" s="7">
        <v>46159</v>
      </c>
      <c r="G364" s="10">
        <v>8190.02</v>
      </c>
      <c r="H364" s="10">
        <v>1228.5</v>
      </c>
      <c r="I364" s="10">
        <v>9418.52</v>
      </c>
      <c r="J364" s="9" t="s">
        <v>2</v>
      </c>
      <c r="K364" s="7">
        <v>46155</v>
      </c>
      <c r="L364" s="9" t="s">
        <v>3</v>
      </c>
      <c r="M364" s="11" cm="1">
        <f t="array" ref="M364">IF(Invoices[[#This Row],[Status]]="Open",MAX(0,AsOf-Invoices[[#This Row],[Due Date]]),IF(Invoices[[#This Row],[Paid Date]]="","",MAX(0,Invoices[[#This Row],[Paid Date]]-Invoices[[#This Row],[Due Date]])))</f>
        <v>0</v>
      </c>
      <c r="N36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65" spans="1:14" ht="17.100000000000001" customHeight="1" x14ac:dyDescent="0.2">
      <c r="A365" s="6" t="s">
        <v>392</v>
      </c>
      <c r="B365" s="7">
        <v>46099</v>
      </c>
      <c r="C365" s="8" t="s">
        <v>31</v>
      </c>
      <c r="D365" s="8" t="s">
        <v>6</v>
      </c>
      <c r="E365" s="9">
        <v>60</v>
      </c>
      <c r="F365" s="7">
        <v>46159</v>
      </c>
      <c r="G365" s="10">
        <v>11417.51</v>
      </c>
      <c r="H365" s="10">
        <v>1712.63</v>
      </c>
      <c r="I365" s="10">
        <v>13130.14</v>
      </c>
      <c r="J365" s="9" t="s">
        <v>2</v>
      </c>
      <c r="K365" s="7">
        <v>46159</v>
      </c>
      <c r="L365" s="9" t="s">
        <v>3</v>
      </c>
      <c r="M365" s="11" cm="1">
        <f t="array" ref="M365">IF(Invoices[[#This Row],[Status]]="Open",MAX(0,AsOf-Invoices[[#This Row],[Due Date]]),IF(Invoices[[#This Row],[Paid Date]]="","",MAX(0,Invoices[[#This Row],[Paid Date]]-Invoices[[#This Row],[Due Date]])))</f>
        <v>0</v>
      </c>
      <c r="N36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66" spans="1:14" ht="17.100000000000001" customHeight="1" x14ac:dyDescent="0.2">
      <c r="A366" s="6" t="s">
        <v>393</v>
      </c>
      <c r="B366" s="7">
        <v>46100</v>
      </c>
      <c r="C366" s="8" t="s">
        <v>38</v>
      </c>
      <c r="D366" s="8" t="s">
        <v>39</v>
      </c>
      <c r="E366" s="9">
        <v>15</v>
      </c>
      <c r="F366" s="7">
        <v>46115</v>
      </c>
      <c r="G366" s="10">
        <v>2534.66</v>
      </c>
      <c r="H366" s="10">
        <v>380.2</v>
      </c>
      <c r="I366" s="10">
        <v>2914.86</v>
      </c>
      <c r="J366" s="9" t="s">
        <v>2</v>
      </c>
      <c r="K366" s="7">
        <v>46115</v>
      </c>
      <c r="L366" s="9" t="s">
        <v>3</v>
      </c>
      <c r="M366" s="11" cm="1">
        <f t="array" ref="M366">IF(Invoices[[#This Row],[Status]]="Open",MAX(0,AsOf-Invoices[[#This Row],[Due Date]]),IF(Invoices[[#This Row],[Paid Date]]="","",MAX(0,Invoices[[#This Row],[Paid Date]]-Invoices[[#This Row],[Due Date]])))</f>
        <v>0</v>
      </c>
      <c r="N36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67" spans="1:14" ht="17.100000000000001" customHeight="1" x14ac:dyDescent="0.2">
      <c r="A367" s="6" t="s">
        <v>394</v>
      </c>
      <c r="B367" s="7">
        <v>46100</v>
      </c>
      <c r="C367" s="8" t="s">
        <v>45</v>
      </c>
      <c r="D367" s="8" t="s">
        <v>17</v>
      </c>
      <c r="E367" s="9">
        <v>30</v>
      </c>
      <c r="F367" s="7">
        <v>46130</v>
      </c>
      <c r="G367" s="10">
        <v>2617.56</v>
      </c>
      <c r="H367" s="10">
        <v>392.63</v>
      </c>
      <c r="I367" s="10">
        <v>3010.19</v>
      </c>
      <c r="J367" s="9" t="s">
        <v>2</v>
      </c>
      <c r="K367" s="7">
        <v>46130</v>
      </c>
      <c r="L367" s="9" t="s">
        <v>3</v>
      </c>
      <c r="M367" s="11" cm="1">
        <f t="array" ref="M367">IF(Invoices[[#This Row],[Status]]="Open",MAX(0,AsOf-Invoices[[#This Row],[Due Date]]),IF(Invoices[[#This Row],[Paid Date]]="","",MAX(0,Invoices[[#This Row],[Paid Date]]-Invoices[[#This Row],[Due Date]])))</f>
        <v>0</v>
      </c>
      <c r="N36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68" spans="1:14" ht="17.100000000000001" customHeight="1" x14ac:dyDescent="0.2">
      <c r="A368" s="6" t="s">
        <v>395</v>
      </c>
      <c r="B368" s="7">
        <v>46100</v>
      </c>
      <c r="C368" s="8" t="s">
        <v>13</v>
      </c>
      <c r="D368" s="8" t="s">
        <v>1</v>
      </c>
      <c r="E368" s="9">
        <v>30</v>
      </c>
      <c r="F368" s="7">
        <v>46130</v>
      </c>
      <c r="G368" s="10">
        <v>8227.9500000000007</v>
      </c>
      <c r="H368" s="10">
        <v>1234.19</v>
      </c>
      <c r="I368" s="10">
        <v>9462.14</v>
      </c>
      <c r="J368" s="9" t="s">
        <v>2</v>
      </c>
      <c r="K368" s="7">
        <v>46125</v>
      </c>
      <c r="L368" s="9" t="s">
        <v>3</v>
      </c>
      <c r="M368" s="11" cm="1">
        <f t="array" ref="M368">IF(Invoices[[#This Row],[Status]]="Open",MAX(0,AsOf-Invoices[[#This Row],[Due Date]]),IF(Invoices[[#This Row],[Paid Date]]="","",MAX(0,Invoices[[#This Row],[Paid Date]]-Invoices[[#This Row],[Due Date]])))</f>
        <v>0</v>
      </c>
      <c r="N36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69" spans="1:14" ht="17.100000000000001" customHeight="1" x14ac:dyDescent="0.2">
      <c r="A369" s="6" t="s">
        <v>396</v>
      </c>
      <c r="B369" s="7">
        <v>46100</v>
      </c>
      <c r="C369" s="8" t="s">
        <v>13</v>
      </c>
      <c r="D369" s="8" t="s">
        <v>1</v>
      </c>
      <c r="E369" s="9">
        <v>30</v>
      </c>
      <c r="F369" s="7">
        <v>46130</v>
      </c>
      <c r="G369" s="10">
        <v>4186.5</v>
      </c>
      <c r="H369" s="10">
        <v>627.98</v>
      </c>
      <c r="I369" s="10">
        <v>4814.4799999999996</v>
      </c>
      <c r="J369" s="9" t="s">
        <v>2</v>
      </c>
      <c r="K369" s="7">
        <v>46129</v>
      </c>
      <c r="L369" s="9" t="s">
        <v>3</v>
      </c>
      <c r="M369" s="11" cm="1">
        <f t="array" ref="M369">IF(Invoices[[#This Row],[Status]]="Open",MAX(0,AsOf-Invoices[[#This Row],[Due Date]]),IF(Invoices[[#This Row],[Paid Date]]="","",MAX(0,Invoices[[#This Row],[Paid Date]]-Invoices[[#This Row],[Due Date]])))</f>
        <v>0</v>
      </c>
      <c r="N36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70" spans="1:14" ht="17.100000000000001" customHeight="1" x14ac:dyDescent="0.2">
      <c r="A370" s="6" t="s">
        <v>397</v>
      </c>
      <c r="B370" s="7">
        <v>46100</v>
      </c>
      <c r="C370" s="8" t="s">
        <v>5</v>
      </c>
      <c r="D370" s="8" t="s">
        <v>6</v>
      </c>
      <c r="E370" s="9">
        <v>45</v>
      </c>
      <c r="F370" s="7">
        <v>46145</v>
      </c>
      <c r="G370" s="10">
        <v>8604.7000000000007</v>
      </c>
      <c r="H370" s="10">
        <v>1290.71</v>
      </c>
      <c r="I370" s="10">
        <v>9895.41</v>
      </c>
      <c r="J370" s="9" t="s">
        <v>2</v>
      </c>
      <c r="K370" s="7">
        <v>46145</v>
      </c>
      <c r="L370" s="9" t="s">
        <v>3</v>
      </c>
      <c r="M370" s="11" cm="1">
        <f t="array" ref="M370">IF(Invoices[[#This Row],[Status]]="Open",MAX(0,AsOf-Invoices[[#This Row],[Due Date]]),IF(Invoices[[#This Row],[Paid Date]]="","",MAX(0,Invoices[[#This Row],[Paid Date]]-Invoices[[#This Row],[Due Date]])))</f>
        <v>0</v>
      </c>
      <c r="N37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71" spans="1:14" ht="17.100000000000001" customHeight="1" x14ac:dyDescent="0.2">
      <c r="A371" s="6" t="s">
        <v>398</v>
      </c>
      <c r="B371" s="7">
        <v>46103</v>
      </c>
      <c r="C371" s="8" t="s">
        <v>5</v>
      </c>
      <c r="D371" s="8" t="s">
        <v>6</v>
      </c>
      <c r="E371" s="9">
        <v>45</v>
      </c>
      <c r="F371" s="7">
        <v>46148</v>
      </c>
      <c r="G371" s="10">
        <v>17401.060000000001</v>
      </c>
      <c r="H371" s="10">
        <v>2610.16</v>
      </c>
      <c r="I371" s="10">
        <v>20011.22</v>
      </c>
      <c r="J371" s="9" t="s">
        <v>2</v>
      </c>
      <c r="K371" s="7">
        <v>46145</v>
      </c>
      <c r="L371" s="9" t="s">
        <v>3</v>
      </c>
      <c r="M371" s="11" cm="1">
        <f t="array" ref="M371">IF(Invoices[[#This Row],[Status]]="Open",MAX(0,AsOf-Invoices[[#This Row],[Due Date]]),IF(Invoices[[#This Row],[Paid Date]]="","",MAX(0,Invoices[[#This Row],[Paid Date]]-Invoices[[#This Row],[Due Date]])))</f>
        <v>0</v>
      </c>
      <c r="N37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72" spans="1:14" ht="17.100000000000001" customHeight="1" x14ac:dyDescent="0.2">
      <c r="A372" s="6" t="s">
        <v>399</v>
      </c>
      <c r="B372" s="7">
        <v>46103</v>
      </c>
      <c r="C372" s="8" t="s">
        <v>31</v>
      </c>
      <c r="D372" s="8" t="s">
        <v>6</v>
      </c>
      <c r="E372" s="9">
        <v>60</v>
      </c>
      <c r="F372" s="7">
        <v>46163</v>
      </c>
      <c r="G372" s="10">
        <v>7681.93</v>
      </c>
      <c r="H372" s="10">
        <v>1152.29</v>
      </c>
      <c r="I372" s="10">
        <v>8834.2199999999993</v>
      </c>
      <c r="J372" s="9" t="s">
        <v>2</v>
      </c>
      <c r="K372" s="7">
        <v>46158</v>
      </c>
      <c r="L372" s="9" t="s">
        <v>3</v>
      </c>
      <c r="M372" s="11" cm="1">
        <f t="array" ref="M372">IF(Invoices[[#This Row],[Status]]="Open",MAX(0,AsOf-Invoices[[#This Row],[Due Date]]),IF(Invoices[[#This Row],[Paid Date]]="","",MAX(0,Invoices[[#This Row],[Paid Date]]-Invoices[[#This Row],[Due Date]])))</f>
        <v>0</v>
      </c>
      <c r="N37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73" spans="1:14" ht="17.100000000000001" customHeight="1" x14ac:dyDescent="0.2">
      <c r="A373" s="6" t="s">
        <v>400</v>
      </c>
      <c r="B373" s="7">
        <v>46103</v>
      </c>
      <c r="C373" s="8" t="s">
        <v>13</v>
      </c>
      <c r="D373" s="8" t="s">
        <v>1</v>
      </c>
      <c r="E373" s="9">
        <v>30</v>
      </c>
      <c r="F373" s="7">
        <v>46133</v>
      </c>
      <c r="G373" s="10">
        <v>3089.14</v>
      </c>
      <c r="H373" s="10">
        <v>463.37</v>
      </c>
      <c r="I373" s="10">
        <v>3552.51</v>
      </c>
      <c r="J373" s="9" t="s">
        <v>2</v>
      </c>
      <c r="K373" s="7">
        <v>46135</v>
      </c>
      <c r="L373" s="9" t="s">
        <v>3</v>
      </c>
      <c r="M373" s="11" cm="1">
        <f t="array" ref="M373">IF(Invoices[[#This Row],[Status]]="Open",MAX(0,AsOf-Invoices[[#This Row],[Due Date]]),IF(Invoices[[#This Row],[Paid Date]]="","",MAX(0,Invoices[[#This Row],[Paid Date]]-Invoices[[#This Row],[Due Date]])))</f>
        <v>2</v>
      </c>
      <c r="N37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74" spans="1:14" ht="17.100000000000001" customHeight="1" x14ac:dyDescent="0.2">
      <c r="A374" s="6" t="s">
        <v>401</v>
      </c>
      <c r="B374" s="7">
        <v>46103</v>
      </c>
      <c r="C374" s="8" t="s">
        <v>10</v>
      </c>
      <c r="D374" s="8" t="s">
        <v>11</v>
      </c>
      <c r="E374" s="9">
        <v>30</v>
      </c>
      <c r="F374" s="7">
        <v>46133</v>
      </c>
      <c r="G374" s="10">
        <v>3716.56</v>
      </c>
      <c r="H374" s="10">
        <v>557.48</v>
      </c>
      <c r="I374" s="10">
        <v>4274.04</v>
      </c>
      <c r="J374" s="9" t="s">
        <v>2</v>
      </c>
      <c r="K374" s="7">
        <v>46138</v>
      </c>
      <c r="L374" s="9" t="s">
        <v>3</v>
      </c>
      <c r="M374" s="11" cm="1">
        <f t="array" ref="M374">IF(Invoices[[#This Row],[Status]]="Open",MAX(0,AsOf-Invoices[[#This Row],[Due Date]]),IF(Invoices[[#This Row],[Paid Date]]="","",MAX(0,Invoices[[#This Row],[Paid Date]]-Invoices[[#This Row],[Due Date]])))</f>
        <v>5</v>
      </c>
      <c r="N37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75" spans="1:14" ht="17.100000000000001" customHeight="1" x14ac:dyDescent="0.2">
      <c r="A375" s="6" t="s">
        <v>402</v>
      </c>
      <c r="B375" s="7">
        <v>46104</v>
      </c>
      <c r="C375" s="8" t="s">
        <v>61</v>
      </c>
      <c r="D375" s="8" t="s">
        <v>62</v>
      </c>
      <c r="E375" s="9">
        <v>15</v>
      </c>
      <c r="F375" s="7">
        <v>46119</v>
      </c>
      <c r="G375" s="10">
        <v>1140.29</v>
      </c>
      <c r="H375" s="10">
        <v>171.04</v>
      </c>
      <c r="I375" s="10">
        <v>1311.33</v>
      </c>
      <c r="J375" s="9" t="s">
        <v>2</v>
      </c>
      <c r="K375" s="7">
        <v>46119</v>
      </c>
      <c r="L375" s="9" t="s">
        <v>3</v>
      </c>
      <c r="M375" s="11" cm="1">
        <f t="array" ref="M375">IF(Invoices[[#This Row],[Status]]="Open",MAX(0,AsOf-Invoices[[#This Row],[Due Date]]),IF(Invoices[[#This Row],[Paid Date]]="","",MAX(0,Invoices[[#This Row],[Paid Date]]-Invoices[[#This Row],[Due Date]])))</f>
        <v>0</v>
      </c>
      <c r="N37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76" spans="1:14" ht="17.100000000000001" customHeight="1" x14ac:dyDescent="0.2">
      <c r="A376" s="6" t="s">
        <v>403</v>
      </c>
      <c r="B376" s="7">
        <v>46104</v>
      </c>
      <c r="C376" s="8" t="s">
        <v>31</v>
      </c>
      <c r="D376" s="8" t="s">
        <v>6</v>
      </c>
      <c r="E376" s="9">
        <v>60</v>
      </c>
      <c r="F376" s="7">
        <v>46164</v>
      </c>
      <c r="G376" s="10">
        <v>6533.38</v>
      </c>
      <c r="H376" s="10">
        <v>980.01</v>
      </c>
      <c r="I376" s="10">
        <v>7513.39</v>
      </c>
      <c r="J376" s="9" t="s">
        <v>2</v>
      </c>
      <c r="K376" s="7">
        <v>46164</v>
      </c>
      <c r="L376" s="9" t="s">
        <v>3</v>
      </c>
      <c r="M376" s="11" cm="1">
        <f t="array" ref="M376">IF(Invoices[[#This Row],[Status]]="Open",MAX(0,AsOf-Invoices[[#This Row],[Due Date]]),IF(Invoices[[#This Row],[Paid Date]]="","",MAX(0,Invoices[[#This Row],[Paid Date]]-Invoices[[#This Row],[Due Date]])))</f>
        <v>0</v>
      </c>
      <c r="N37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77" spans="1:14" ht="17.100000000000001" customHeight="1" x14ac:dyDescent="0.2">
      <c r="A377" s="6" t="s">
        <v>404</v>
      </c>
      <c r="B377" s="7">
        <v>46104</v>
      </c>
      <c r="C377" s="8" t="s">
        <v>69</v>
      </c>
      <c r="D377" s="8" t="s">
        <v>6</v>
      </c>
      <c r="E377" s="9">
        <v>45</v>
      </c>
      <c r="F377" s="7">
        <v>46149</v>
      </c>
      <c r="G377" s="10">
        <v>16355.63</v>
      </c>
      <c r="H377" s="10">
        <v>2453.34</v>
      </c>
      <c r="I377" s="10">
        <v>18808.97</v>
      </c>
      <c r="J377" s="9" t="s">
        <v>2</v>
      </c>
      <c r="K377" s="7">
        <v>46154</v>
      </c>
      <c r="L377" s="9" t="s">
        <v>3</v>
      </c>
      <c r="M377" s="11" cm="1">
        <f t="array" ref="M377">IF(Invoices[[#This Row],[Status]]="Open",MAX(0,AsOf-Invoices[[#This Row],[Due Date]]),IF(Invoices[[#This Row],[Paid Date]]="","",MAX(0,Invoices[[#This Row],[Paid Date]]-Invoices[[#This Row],[Due Date]])))</f>
        <v>5</v>
      </c>
      <c r="N37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78" spans="1:14" ht="17.100000000000001" customHeight="1" x14ac:dyDescent="0.2">
      <c r="A378" s="6" t="s">
        <v>405</v>
      </c>
      <c r="B378" s="7">
        <v>46105</v>
      </c>
      <c r="C378" s="8" t="s">
        <v>61</v>
      </c>
      <c r="D378" s="8" t="s">
        <v>62</v>
      </c>
      <c r="E378" s="9">
        <v>15</v>
      </c>
      <c r="F378" s="7">
        <v>46120</v>
      </c>
      <c r="G378" s="10">
        <v>2861.84</v>
      </c>
      <c r="H378" s="10">
        <v>429.28</v>
      </c>
      <c r="I378" s="10">
        <v>3291.12</v>
      </c>
      <c r="J378" s="9" t="s">
        <v>2</v>
      </c>
      <c r="K378" s="7">
        <v>46115</v>
      </c>
      <c r="L378" s="9" t="s">
        <v>3</v>
      </c>
      <c r="M378" s="11" cm="1">
        <f t="array" ref="M378">IF(Invoices[[#This Row],[Status]]="Open",MAX(0,AsOf-Invoices[[#This Row],[Due Date]]),IF(Invoices[[#This Row],[Paid Date]]="","",MAX(0,Invoices[[#This Row],[Paid Date]]-Invoices[[#This Row],[Due Date]])))</f>
        <v>0</v>
      </c>
      <c r="N37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79" spans="1:14" ht="17.100000000000001" customHeight="1" x14ac:dyDescent="0.2">
      <c r="A379" s="6" t="s">
        <v>406</v>
      </c>
      <c r="B379" s="7">
        <v>46105</v>
      </c>
      <c r="C379" s="8" t="s">
        <v>5</v>
      </c>
      <c r="D379" s="8" t="s">
        <v>6</v>
      </c>
      <c r="E379" s="9">
        <v>45</v>
      </c>
      <c r="F379" s="7">
        <v>46150</v>
      </c>
      <c r="G379" s="10">
        <v>7166.27</v>
      </c>
      <c r="H379" s="10">
        <v>1074.94</v>
      </c>
      <c r="I379" s="10">
        <v>8241.2099999999991</v>
      </c>
      <c r="J379" s="9" t="s">
        <v>2</v>
      </c>
      <c r="K379" s="7">
        <v>46150</v>
      </c>
      <c r="L379" s="9" t="s">
        <v>3</v>
      </c>
      <c r="M379" s="11" cm="1">
        <f t="array" ref="M379">IF(Invoices[[#This Row],[Status]]="Open",MAX(0,AsOf-Invoices[[#This Row],[Due Date]]),IF(Invoices[[#This Row],[Paid Date]]="","",MAX(0,Invoices[[#This Row],[Paid Date]]-Invoices[[#This Row],[Due Date]])))</f>
        <v>0</v>
      </c>
      <c r="N37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80" spans="1:14" ht="17.100000000000001" customHeight="1" x14ac:dyDescent="0.2">
      <c r="A380" s="6" t="s">
        <v>407</v>
      </c>
      <c r="B380" s="7">
        <v>46105</v>
      </c>
      <c r="C380" s="8" t="s">
        <v>8</v>
      </c>
      <c r="D380" s="8" t="s">
        <v>6</v>
      </c>
      <c r="E380" s="9">
        <v>45</v>
      </c>
      <c r="F380" s="7">
        <v>46150</v>
      </c>
      <c r="G380" s="10">
        <v>10528</v>
      </c>
      <c r="H380" s="10">
        <v>1579.2</v>
      </c>
      <c r="I380" s="10">
        <v>12107.2</v>
      </c>
      <c r="J380" s="9" t="s">
        <v>2</v>
      </c>
      <c r="K380" s="7">
        <v>46148</v>
      </c>
      <c r="L380" s="9" t="s">
        <v>3</v>
      </c>
      <c r="M380" s="11" cm="1">
        <f t="array" ref="M380">IF(Invoices[[#This Row],[Status]]="Open",MAX(0,AsOf-Invoices[[#This Row],[Due Date]]),IF(Invoices[[#This Row],[Paid Date]]="","",MAX(0,Invoices[[#This Row],[Paid Date]]-Invoices[[#This Row],[Due Date]])))</f>
        <v>0</v>
      </c>
      <c r="N38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81" spans="1:14" ht="17.100000000000001" customHeight="1" x14ac:dyDescent="0.2">
      <c r="A381" s="6" t="s">
        <v>408</v>
      </c>
      <c r="B381" s="7">
        <v>46106</v>
      </c>
      <c r="C381" s="8" t="s">
        <v>5</v>
      </c>
      <c r="D381" s="8" t="s">
        <v>6</v>
      </c>
      <c r="E381" s="9">
        <v>45</v>
      </c>
      <c r="F381" s="7">
        <v>46151</v>
      </c>
      <c r="G381" s="10">
        <v>4026.46</v>
      </c>
      <c r="H381" s="10">
        <v>603.97</v>
      </c>
      <c r="I381" s="10">
        <v>4630.43</v>
      </c>
      <c r="J381" s="9" t="s">
        <v>2</v>
      </c>
      <c r="K381" s="7">
        <v>46151</v>
      </c>
      <c r="L381" s="9" t="s">
        <v>3</v>
      </c>
      <c r="M381" s="11" cm="1">
        <f t="array" ref="M381">IF(Invoices[[#This Row],[Status]]="Open",MAX(0,AsOf-Invoices[[#This Row],[Due Date]]),IF(Invoices[[#This Row],[Paid Date]]="","",MAX(0,Invoices[[#This Row],[Paid Date]]-Invoices[[#This Row],[Due Date]])))</f>
        <v>0</v>
      </c>
      <c r="N38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82" spans="1:14" ht="17.100000000000001" customHeight="1" x14ac:dyDescent="0.2">
      <c r="A382" s="6" t="s">
        <v>409</v>
      </c>
      <c r="B382" s="7">
        <v>46106</v>
      </c>
      <c r="C382" s="8" t="s">
        <v>45</v>
      </c>
      <c r="D382" s="8" t="s">
        <v>17</v>
      </c>
      <c r="E382" s="9">
        <v>30</v>
      </c>
      <c r="F382" s="7">
        <v>46136</v>
      </c>
      <c r="G382" s="10">
        <v>2212.85</v>
      </c>
      <c r="H382" s="10">
        <v>331.93</v>
      </c>
      <c r="I382" s="10">
        <v>2544.7800000000002</v>
      </c>
      <c r="J382" s="9" t="s">
        <v>2</v>
      </c>
      <c r="K382" s="7">
        <v>46143</v>
      </c>
      <c r="L382" s="9" t="s">
        <v>3</v>
      </c>
      <c r="M382" s="11" cm="1">
        <f t="array" ref="M382">IF(Invoices[[#This Row],[Status]]="Open",MAX(0,AsOf-Invoices[[#This Row],[Due Date]]),IF(Invoices[[#This Row],[Paid Date]]="","",MAX(0,Invoices[[#This Row],[Paid Date]]-Invoices[[#This Row],[Due Date]])))</f>
        <v>7</v>
      </c>
      <c r="N38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83" spans="1:14" ht="17.100000000000001" customHeight="1" x14ac:dyDescent="0.2">
      <c r="A383" s="6" t="s">
        <v>410</v>
      </c>
      <c r="B383" s="7">
        <v>46106</v>
      </c>
      <c r="C383" s="8" t="s">
        <v>5</v>
      </c>
      <c r="D383" s="8" t="s">
        <v>6</v>
      </c>
      <c r="E383" s="9">
        <v>45</v>
      </c>
      <c r="F383" s="7">
        <v>46151</v>
      </c>
      <c r="G383" s="10">
        <v>5165.5600000000004</v>
      </c>
      <c r="H383" s="10">
        <v>774.83</v>
      </c>
      <c r="I383" s="10">
        <v>5940.39</v>
      </c>
      <c r="J383" s="9" t="s">
        <v>2</v>
      </c>
      <c r="K383" s="7">
        <v>46153</v>
      </c>
      <c r="L383" s="9" t="s">
        <v>3</v>
      </c>
      <c r="M383" s="11" cm="1">
        <f t="array" ref="M383">IF(Invoices[[#This Row],[Status]]="Open",MAX(0,AsOf-Invoices[[#This Row],[Due Date]]),IF(Invoices[[#This Row],[Paid Date]]="","",MAX(0,Invoices[[#This Row],[Paid Date]]-Invoices[[#This Row],[Due Date]])))</f>
        <v>2</v>
      </c>
      <c r="N38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84" spans="1:14" ht="17.100000000000001" customHeight="1" x14ac:dyDescent="0.2">
      <c r="A384" s="6" t="s">
        <v>411</v>
      </c>
      <c r="B384" s="7">
        <v>46106</v>
      </c>
      <c r="C384" s="8" t="s">
        <v>34</v>
      </c>
      <c r="D384" s="8" t="s">
        <v>21</v>
      </c>
      <c r="E384" s="9">
        <v>30</v>
      </c>
      <c r="F384" s="7">
        <v>46136</v>
      </c>
      <c r="G384" s="10">
        <v>5072.4399999999996</v>
      </c>
      <c r="H384" s="10">
        <v>760.87</v>
      </c>
      <c r="I384" s="10">
        <v>5833.31</v>
      </c>
      <c r="J384" s="9" t="s">
        <v>2</v>
      </c>
      <c r="K384" s="7">
        <v>46131</v>
      </c>
      <c r="L384" s="9" t="s">
        <v>3</v>
      </c>
      <c r="M384" s="11" cm="1">
        <f t="array" ref="M384">IF(Invoices[[#This Row],[Status]]="Open",MAX(0,AsOf-Invoices[[#This Row],[Due Date]]),IF(Invoices[[#This Row],[Paid Date]]="","",MAX(0,Invoices[[#This Row],[Paid Date]]-Invoices[[#This Row],[Due Date]])))</f>
        <v>0</v>
      </c>
      <c r="N38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85" spans="1:14" ht="17.100000000000001" customHeight="1" x14ac:dyDescent="0.2">
      <c r="A385" s="6" t="s">
        <v>412</v>
      </c>
      <c r="B385" s="7">
        <v>46106</v>
      </c>
      <c r="C385" s="8" t="s">
        <v>24</v>
      </c>
      <c r="D385" s="8" t="s">
        <v>25</v>
      </c>
      <c r="E385" s="9">
        <v>60</v>
      </c>
      <c r="F385" s="7">
        <v>46166</v>
      </c>
      <c r="G385" s="10">
        <v>15960.78</v>
      </c>
      <c r="H385" s="10">
        <v>2394.12</v>
      </c>
      <c r="I385" s="10">
        <v>18354.900000000001</v>
      </c>
      <c r="J385" s="9" t="s">
        <v>2</v>
      </c>
      <c r="K385" s="7">
        <v>46163</v>
      </c>
      <c r="L385" s="9" t="s">
        <v>3</v>
      </c>
      <c r="M385" s="11" cm="1">
        <f t="array" ref="M385">IF(Invoices[[#This Row],[Status]]="Open",MAX(0,AsOf-Invoices[[#This Row],[Due Date]]),IF(Invoices[[#This Row],[Paid Date]]="","",MAX(0,Invoices[[#This Row],[Paid Date]]-Invoices[[#This Row],[Due Date]])))</f>
        <v>0</v>
      </c>
      <c r="N38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86" spans="1:14" ht="17.100000000000001" customHeight="1" x14ac:dyDescent="0.2">
      <c r="A386" s="6" t="s">
        <v>413</v>
      </c>
      <c r="B386" s="7">
        <v>46106</v>
      </c>
      <c r="C386" s="8" t="s">
        <v>24</v>
      </c>
      <c r="D386" s="8" t="s">
        <v>25</v>
      </c>
      <c r="E386" s="9">
        <v>60</v>
      </c>
      <c r="F386" s="7">
        <v>46166</v>
      </c>
      <c r="G386" s="10">
        <v>12669.02</v>
      </c>
      <c r="H386" s="10">
        <v>1900.35</v>
      </c>
      <c r="I386" s="10">
        <v>14569.37</v>
      </c>
      <c r="J386" s="9" t="s">
        <v>2</v>
      </c>
      <c r="K386" s="7">
        <v>46161</v>
      </c>
      <c r="L386" s="9" t="s">
        <v>3</v>
      </c>
      <c r="M386" s="11" cm="1">
        <f t="array" ref="M386">IF(Invoices[[#This Row],[Status]]="Open",MAX(0,AsOf-Invoices[[#This Row],[Due Date]]),IF(Invoices[[#This Row],[Paid Date]]="","",MAX(0,Invoices[[#This Row],[Paid Date]]-Invoices[[#This Row],[Due Date]])))</f>
        <v>0</v>
      </c>
      <c r="N38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87" spans="1:14" ht="17.100000000000001" customHeight="1" x14ac:dyDescent="0.2">
      <c r="A387" s="6" t="s">
        <v>414</v>
      </c>
      <c r="B387" s="7">
        <v>46106</v>
      </c>
      <c r="C387" s="8" t="s">
        <v>45</v>
      </c>
      <c r="D387" s="8" t="s">
        <v>17</v>
      </c>
      <c r="E387" s="9">
        <v>30</v>
      </c>
      <c r="F387" s="7">
        <v>46136</v>
      </c>
      <c r="G387" s="10">
        <v>1965.75</v>
      </c>
      <c r="H387" s="10">
        <v>294.86</v>
      </c>
      <c r="I387" s="10">
        <v>2260.61</v>
      </c>
      <c r="J387" s="9" t="s">
        <v>2</v>
      </c>
      <c r="K387" s="7">
        <v>46144</v>
      </c>
      <c r="L387" s="9" t="s">
        <v>3</v>
      </c>
      <c r="M387" s="11" cm="1">
        <f t="array" ref="M387">IF(Invoices[[#This Row],[Status]]="Open",MAX(0,AsOf-Invoices[[#This Row],[Due Date]]),IF(Invoices[[#This Row],[Paid Date]]="","",MAX(0,Invoices[[#This Row],[Paid Date]]-Invoices[[#This Row],[Due Date]])))</f>
        <v>8</v>
      </c>
      <c r="N38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88" spans="1:14" ht="17.100000000000001" customHeight="1" x14ac:dyDescent="0.2">
      <c r="A388" s="6" t="s">
        <v>415</v>
      </c>
      <c r="B388" s="7">
        <v>46107</v>
      </c>
      <c r="C388" s="8" t="s">
        <v>8</v>
      </c>
      <c r="D388" s="8" t="s">
        <v>6</v>
      </c>
      <c r="E388" s="9">
        <v>45</v>
      </c>
      <c r="F388" s="7">
        <v>46152</v>
      </c>
      <c r="G388" s="10">
        <v>12163.33</v>
      </c>
      <c r="H388" s="10">
        <v>1824.5</v>
      </c>
      <c r="I388" s="10">
        <v>13987.83</v>
      </c>
      <c r="J388" s="9" t="s">
        <v>2</v>
      </c>
      <c r="K388" s="7">
        <v>46155</v>
      </c>
      <c r="L388" s="9" t="s">
        <v>3</v>
      </c>
      <c r="M388" s="11" cm="1">
        <f t="array" ref="M388">IF(Invoices[[#This Row],[Status]]="Open",MAX(0,AsOf-Invoices[[#This Row],[Due Date]]),IF(Invoices[[#This Row],[Paid Date]]="","",MAX(0,Invoices[[#This Row],[Paid Date]]-Invoices[[#This Row],[Due Date]])))</f>
        <v>3</v>
      </c>
      <c r="N38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89" spans="1:14" ht="17.100000000000001" customHeight="1" x14ac:dyDescent="0.2">
      <c r="A389" s="6" t="s">
        <v>416</v>
      </c>
      <c r="B389" s="7">
        <v>46107</v>
      </c>
      <c r="C389" s="8" t="s">
        <v>56</v>
      </c>
      <c r="D389" s="8" t="s">
        <v>17</v>
      </c>
      <c r="E389" s="9">
        <v>30</v>
      </c>
      <c r="F389" s="7">
        <v>46137</v>
      </c>
      <c r="G389" s="10">
        <v>3317.98</v>
      </c>
      <c r="H389" s="10">
        <v>497.7</v>
      </c>
      <c r="I389" s="10">
        <v>3815.68</v>
      </c>
      <c r="J389" s="9" t="s">
        <v>2</v>
      </c>
      <c r="K389" s="7">
        <v>46144</v>
      </c>
      <c r="L389" s="9" t="s">
        <v>3</v>
      </c>
      <c r="M389" s="11" cm="1">
        <f t="array" ref="M389">IF(Invoices[[#This Row],[Status]]="Open",MAX(0,AsOf-Invoices[[#This Row],[Due Date]]),IF(Invoices[[#This Row],[Paid Date]]="","",MAX(0,Invoices[[#This Row],[Paid Date]]-Invoices[[#This Row],[Due Date]])))</f>
        <v>7</v>
      </c>
      <c r="N38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90" spans="1:14" ht="17.100000000000001" customHeight="1" x14ac:dyDescent="0.2">
      <c r="A390" s="6" t="s">
        <v>417</v>
      </c>
      <c r="B390" s="7">
        <v>46107</v>
      </c>
      <c r="C390" s="8" t="s">
        <v>5</v>
      </c>
      <c r="D390" s="8" t="s">
        <v>6</v>
      </c>
      <c r="E390" s="9">
        <v>45</v>
      </c>
      <c r="F390" s="7">
        <v>46152</v>
      </c>
      <c r="G390" s="10">
        <v>7792.28</v>
      </c>
      <c r="H390" s="10">
        <v>1168.8399999999999</v>
      </c>
      <c r="I390" s="10">
        <v>8961.1200000000008</v>
      </c>
      <c r="J390" s="9" t="s">
        <v>2</v>
      </c>
      <c r="K390" s="7">
        <v>46151</v>
      </c>
      <c r="L390" s="9" t="s">
        <v>3</v>
      </c>
      <c r="M390" s="11" cm="1">
        <f t="array" ref="M390">IF(Invoices[[#This Row],[Status]]="Open",MAX(0,AsOf-Invoices[[#This Row],[Due Date]]),IF(Invoices[[#This Row],[Paid Date]]="","",MAX(0,Invoices[[#This Row],[Paid Date]]-Invoices[[#This Row],[Due Date]])))</f>
        <v>0</v>
      </c>
      <c r="N39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91" spans="1:14" ht="17.100000000000001" customHeight="1" x14ac:dyDescent="0.2">
      <c r="A391" s="6" t="s">
        <v>418</v>
      </c>
      <c r="B391" s="7">
        <v>46107</v>
      </c>
      <c r="C391" s="8" t="s">
        <v>31</v>
      </c>
      <c r="D391" s="8" t="s">
        <v>6</v>
      </c>
      <c r="E391" s="9">
        <v>60</v>
      </c>
      <c r="F391" s="7">
        <v>46167</v>
      </c>
      <c r="G391" s="10">
        <v>14644.96</v>
      </c>
      <c r="H391" s="10">
        <v>2196.7399999999998</v>
      </c>
      <c r="I391" s="10">
        <v>16841.7</v>
      </c>
      <c r="J391" s="9" t="s">
        <v>2</v>
      </c>
      <c r="K391" s="7">
        <v>46171</v>
      </c>
      <c r="L391" s="9" t="s">
        <v>3</v>
      </c>
      <c r="M391" s="11" cm="1">
        <f t="array" ref="M391">IF(Invoices[[#This Row],[Status]]="Open",MAX(0,AsOf-Invoices[[#This Row],[Due Date]]),IF(Invoices[[#This Row],[Paid Date]]="","",MAX(0,Invoices[[#This Row],[Paid Date]]-Invoices[[#This Row],[Due Date]])))</f>
        <v>4</v>
      </c>
      <c r="N39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92" spans="1:14" ht="17.100000000000001" customHeight="1" x14ac:dyDescent="0.2">
      <c r="A392" s="6" t="s">
        <v>419</v>
      </c>
      <c r="B392" s="7">
        <v>46110</v>
      </c>
      <c r="C392" s="8" t="s">
        <v>13</v>
      </c>
      <c r="D392" s="8" t="s">
        <v>1</v>
      </c>
      <c r="E392" s="9">
        <v>30</v>
      </c>
      <c r="F392" s="7">
        <v>46140</v>
      </c>
      <c r="G392" s="10">
        <v>2002.65</v>
      </c>
      <c r="H392" s="10">
        <v>300.39999999999998</v>
      </c>
      <c r="I392" s="10">
        <v>2303.0500000000002</v>
      </c>
      <c r="J392" s="9" t="s">
        <v>2</v>
      </c>
      <c r="K392" s="7">
        <v>46135</v>
      </c>
      <c r="L392" s="9" t="s">
        <v>3</v>
      </c>
      <c r="M392" s="11" cm="1">
        <f t="array" ref="M392">IF(Invoices[[#This Row],[Status]]="Open",MAX(0,AsOf-Invoices[[#This Row],[Due Date]]),IF(Invoices[[#This Row],[Paid Date]]="","",MAX(0,Invoices[[#This Row],[Paid Date]]-Invoices[[#This Row],[Due Date]])))</f>
        <v>0</v>
      </c>
      <c r="N39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93" spans="1:14" ht="17.100000000000001" customHeight="1" x14ac:dyDescent="0.2">
      <c r="A393" s="6" t="s">
        <v>420</v>
      </c>
      <c r="B393" s="7">
        <v>46110</v>
      </c>
      <c r="C393" s="8" t="s">
        <v>16</v>
      </c>
      <c r="D393" s="8" t="s">
        <v>17</v>
      </c>
      <c r="E393" s="9">
        <v>30</v>
      </c>
      <c r="F393" s="7">
        <v>46140</v>
      </c>
      <c r="G393" s="10">
        <v>2542.34</v>
      </c>
      <c r="H393" s="10">
        <v>381.35</v>
      </c>
      <c r="I393" s="10">
        <v>2923.69</v>
      </c>
      <c r="J393" s="9" t="s">
        <v>2</v>
      </c>
      <c r="K393" s="7">
        <v>46145</v>
      </c>
      <c r="L393" s="9" t="s">
        <v>3</v>
      </c>
      <c r="M393" s="11" cm="1">
        <f t="array" ref="M393">IF(Invoices[[#This Row],[Status]]="Open",MAX(0,AsOf-Invoices[[#This Row],[Due Date]]),IF(Invoices[[#This Row],[Paid Date]]="","",MAX(0,Invoices[[#This Row],[Paid Date]]-Invoices[[#This Row],[Due Date]])))</f>
        <v>5</v>
      </c>
      <c r="N39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94" spans="1:14" ht="17.100000000000001" customHeight="1" x14ac:dyDescent="0.2">
      <c r="A394" s="6" t="s">
        <v>421</v>
      </c>
      <c r="B394" s="7">
        <v>46110</v>
      </c>
      <c r="C394" s="8" t="s">
        <v>31</v>
      </c>
      <c r="D394" s="8" t="s">
        <v>6</v>
      </c>
      <c r="E394" s="9">
        <v>60</v>
      </c>
      <c r="F394" s="7">
        <v>46170</v>
      </c>
      <c r="G394" s="10">
        <v>12169.75</v>
      </c>
      <c r="H394" s="10">
        <v>1825.46</v>
      </c>
      <c r="I394" s="10">
        <v>13995.21</v>
      </c>
      <c r="J394" s="9" t="s">
        <v>2</v>
      </c>
      <c r="K394" s="7">
        <v>46169</v>
      </c>
      <c r="L394" s="9" t="s">
        <v>3</v>
      </c>
      <c r="M394" s="11" cm="1">
        <f t="array" ref="M394">IF(Invoices[[#This Row],[Status]]="Open",MAX(0,AsOf-Invoices[[#This Row],[Due Date]]),IF(Invoices[[#This Row],[Paid Date]]="","",MAX(0,Invoices[[#This Row],[Paid Date]]-Invoices[[#This Row],[Due Date]])))</f>
        <v>0</v>
      </c>
      <c r="N39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95" spans="1:14" ht="17.100000000000001" customHeight="1" x14ac:dyDescent="0.2">
      <c r="A395" s="6" t="s">
        <v>422</v>
      </c>
      <c r="B395" s="7">
        <v>46110</v>
      </c>
      <c r="C395" s="8" t="s">
        <v>34</v>
      </c>
      <c r="D395" s="8" t="s">
        <v>21</v>
      </c>
      <c r="E395" s="9">
        <v>30</v>
      </c>
      <c r="F395" s="7">
        <v>46140</v>
      </c>
      <c r="G395" s="10">
        <v>7912.78</v>
      </c>
      <c r="H395" s="10">
        <v>1186.92</v>
      </c>
      <c r="I395" s="10">
        <v>9099.7000000000007</v>
      </c>
      <c r="J395" s="9" t="s">
        <v>2</v>
      </c>
      <c r="K395" s="7">
        <v>46143</v>
      </c>
      <c r="L395" s="9" t="s">
        <v>3</v>
      </c>
      <c r="M395" s="11" cm="1">
        <f t="array" ref="M395">IF(Invoices[[#This Row],[Status]]="Open",MAX(0,AsOf-Invoices[[#This Row],[Due Date]]),IF(Invoices[[#This Row],[Paid Date]]="","",MAX(0,Invoices[[#This Row],[Paid Date]]-Invoices[[#This Row],[Due Date]])))</f>
        <v>3</v>
      </c>
      <c r="N39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96" spans="1:14" ht="17.100000000000001" customHeight="1" x14ac:dyDescent="0.2">
      <c r="A396" s="6" t="s">
        <v>423</v>
      </c>
      <c r="B396" s="7">
        <v>46111</v>
      </c>
      <c r="C396" s="8" t="s">
        <v>61</v>
      </c>
      <c r="D396" s="8" t="s">
        <v>62</v>
      </c>
      <c r="E396" s="9">
        <v>15</v>
      </c>
      <c r="F396" s="7">
        <v>46126</v>
      </c>
      <c r="G396" s="10">
        <v>1582.03</v>
      </c>
      <c r="H396" s="10">
        <v>237.3</v>
      </c>
      <c r="I396" s="10">
        <v>1819.33</v>
      </c>
      <c r="J396" s="9" t="s">
        <v>2</v>
      </c>
      <c r="K396" s="7">
        <v>46131</v>
      </c>
      <c r="L396" s="9" t="s">
        <v>3</v>
      </c>
      <c r="M396" s="11" cm="1">
        <f t="array" ref="M396">IF(Invoices[[#This Row],[Status]]="Open",MAX(0,AsOf-Invoices[[#This Row],[Due Date]]),IF(Invoices[[#This Row],[Paid Date]]="","",MAX(0,Invoices[[#This Row],[Paid Date]]-Invoices[[#This Row],[Due Date]])))</f>
        <v>5</v>
      </c>
      <c r="N39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97" spans="1:14" ht="17.100000000000001" customHeight="1" x14ac:dyDescent="0.2">
      <c r="A397" s="6" t="s">
        <v>424</v>
      </c>
      <c r="B397" s="7">
        <v>46111</v>
      </c>
      <c r="C397" s="8" t="s">
        <v>56</v>
      </c>
      <c r="D397" s="8" t="s">
        <v>17</v>
      </c>
      <c r="E397" s="9">
        <v>30</v>
      </c>
      <c r="F397" s="7">
        <v>46141</v>
      </c>
      <c r="G397" s="10">
        <v>2073.33</v>
      </c>
      <c r="H397" s="10">
        <v>311</v>
      </c>
      <c r="I397" s="10">
        <v>2384.33</v>
      </c>
      <c r="J397" s="9" t="s">
        <v>2</v>
      </c>
      <c r="K397" s="7">
        <v>46145</v>
      </c>
      <c r="L397" s="9" t="s">
        <v>3</v>
      </c>
      <c r="M397" s="11" cm="1">
        <f t="array" ref="M397">IF(Invoices[[#This Row],[Status]]="Open",MAX(0,AsOf-Invoices[[#This Row],[Due Date]]),IF(Invoices[[#This Row],[Paid Date]]="","",MAX(0,Invoices[[#This Row],[Paid Date]]-Invoices[[#This Row],[Due Date]])))</f>
        <v>4</v>
      </c>
      <c r="N39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398" spans="1:14" ht="17.100000000000001" customHeight="1" x14ac:dyDescent="0.2">
      <c r="A398" s="6" t="s">
        <v>425</v>
      </c>
      <c r="B398" s="7">
        <v>46111</v>
      </c>
      <c r="C398" s="8" t="s">
        <v>95</v>
      </c>
      <c r="D398" s="8" t="s">
        <v>62</v>
      </c>
      <c r="E398" s="9">
        <v>15</v>
      </c>
      <c r="F398" s="7">
        <v>46126</v>
      </c>
      <c r="G398" s="10">
        <v>1309.3499999999999</v>
      </c>
      <c r="H398" s="10"/>
      <c r="I398" s="10">
        <v>1309.3499999999999</v>
      </c>
      <c r="J398" s="9" t="s">
        <v>2</v>
      </c>
      <c r="K398" s="7">
        <v>46131</v>
      </c>
      <c r="L398" s="9" t="s">
        <v>3</v>
      </c>
      <c r="M398" s="11" cm="1">
        <f t="array" ref="M398">IF(Invoices[[#This Row],[Status]]="Open",MAX(0,AsOf-Invoices[[#This Row],[Due Date]]),IF(Invoices[[#This Row],[Paid Date]]="","",MAX(0,Invoices[[#This Row],[Paid Date]]-Invoices[[#This Row],[Due Date]])))</f>
        <v>5</v>
      </c>
      <c r="N39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Missing VAT</v>
      </c>
    </row>
    <row r="399" spans="1:14" ht="17.100000000000001" customHeight="1" x14ac:dyDescent="0.2">
      <c r="A399" s="6" t="s">
        <v>426</v>
      </c>
      <c r="B399" s="7">
        <v>46111</v>
      </c>
      <c r="C399" s="8" t="s">
        <v>5</v>
      </c>
      <c r="D399" s="8" t="s">
        <v>6</v>
      </c>
      <c r="E399" s="9">
        <v>45</v>
      </c>
      <c r="F399" s="7">
        <v>46156</v>
      </c>
      <c r="G399" s="10">
        <v>5692.11</v>
      </c>
      <c r="H399" s="10">
        <v>853.82</v>
      </c>
      <c r="I399" s="10">
        <v>6545.93</v>
      </c>
      <c r="J399" s="9" t="s">
        <v>2</v>
      </c>
      <c r="K399" s="7">
        <v>46155</v>
      </c>
      <c r="L399" s="9" t="s">
        <v>3</v>
      </c>
      <c r="M399" s="11" cm="1">
        <f t="array" ref="M399">IF(Invoices[[#This Row],[Status]]="Open",MAX(0,AsOf-Invoices[[#This Row],[Due Date]]),IF(Invoices[[#This Row],[Paid Date]]="","",MAX(0,Invoices[[#This Row],[Paid Date]]-Invoices[[#This Row],[Due Date]])))</f>
        <v>0</v>
      </c>
      <c r="N39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00" spans="1:14" ht="17.100000000000001" customHeight="1" x14ac:dyDescent="0.2">
      <c r="A400" s="6" t="s">
        <v>427</v>
      </c>
      <c r="B400" s="7">
        <v>46112</v>
      </c>
      <c r="C400" s="8" t="s">
        <v>69</v>
      </c>
      <c r="D400" s="8" t="s">
        <v>6</v>
      </c>
      <c r="E400" s="9">
        <v>45</v>
      </c>
      <c r="F400" s="7">
        <v>46157</v>
      </c>
      <c r="G400" s="10">
        <v>21991.16</v>
      </c>
      <c r="H400" s="10">
        <v>3298.67</v>
      </c>
      <c r="I400" s="10">
        <v>25289.83</v>
      </c>
      <c r="J400" s="9" t="s">
        <v>2</v>
      </c>
      <c r="K400" s="7">
        <v>46160</v>
      </c>
      <c r="L400" s="9" t="s">
        <v>3</v>
      </c>
      <c r="M400" s="11" cm="1">
        <f t="array" ref="M400">IF(Invoices[[#This Row],[Status]]="Open",MAX(0,AsOf-Invoices[[#This Row],[Due Date]]),IF(Invoices[[#This Row],[Paid Date]]="","",MAX(0,Invoices[[#This Row],[Paid Date]]-Invoices[[#This Row],[Due Date]])))</f>
        <v>3</v>
      </c>
      <c r="N40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01" spans="1:14" ht="17.100000000000001" customHeight="1" x14ac:dyDescent="0.2">
      <c r="A401" s="6" t="s">
        <v>428</v>
      </c>
      <c r="B401" s="7">
        <v>46113</v>
      </c>
      <c r="C401" s="8" t="s">
        <v>31</v>
      </c>
      <c r="D401" s="8" t="s">
        <v>6</v>
      </c>
      <c r="E401" s="9">
        <v>60</v>
      </c>
      <c r="F401" s="7">
        <v>46173</v>
      </c>
      <c r="G401" s="10">
        <v>10447.15</v>
      </c>
      <c r="H401" s="10">
        <v>1567.07</v>
      </c>
      <c r="I401" s="10">
        <v>12014.22</v>
      </c>
      <c r="J401" s="9" t="s">
        <v>2</v>
      </c>
      <c r="K401" s="7">
        <v>46169</v>
      </c>
      <c r="L401" s="9" t="s">
        <v>3</v>
      </c>
      <c r="M401" s="11" cm="1">
        <f t="array" ref="M401">IF(Invoices[[#This Row],[Status]]="Open",MAX(0,AsOf-Invoices[[#This Row],[Due Date]]),IF(Invoices[[#This Row],[Paid Date]]="","",MAX(0,Invoices[[#This Row],[Paid Date]]-Invoices[[#This Row],[Due Date]])))</f>
        <v>0</v>
      </c>
      <c r="N40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02" spans="1:14" ht="17.100000000000001" customHeight="1" x14ac:dyDescent="0.2">
      <c r="A402" s="6" t="s">
        <v>429</v>
      </c>
      <c r="B402" s="7">
        <v>46113</v>
      </c>
      <c r="C402" s="8" t="s">
        <v>34</v>
      </c>
      <c r="D402" s="8" t="s">
        <v>21</v>
      </c>
      <c r="E402" s="9">
        <v>30</v>
      </c>
      <c r="F402" s="7">
        <v>46143</v>
      </c>
      <c r="G402" s="10">
        <v>8128.93</v>
      </c>
      <c r="H402" s="10">
        <v>1219.3399999999999</v>
      </c>
      <c r="I402" s="10">
        <v>9348.27</v>
      </c>
      <c r="J402" s="9" t="s">
        <v>2</v>
      </c>
      <c r="K402" s="7">
        <v>46143</v>
      </c>
      <c r="L402" s="9" t="s">
        <v>3</v>
      </c>
      <c r="M402" s="11" cm="1">
        <f t="array" ref="M402">IF(Invoices[[#This Row],[Status]]="Open",MAX(0,AsOf-Invoices[[#This Row],[Due Date]]),IF(Invoices[[#This Row],[Paid Date]]="","",MAX(0,Invoices[[#This Row],[Paid Date]]-Invoices[[#This Row],[Due Date]])))</f>
        <v>0</v>
      </c>
      <c r="N40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03" spans="1:14" ht="17.100000000000001" customHeight="1" x14ac:dyDescent="0.2">
      <c r="A403" s="6" t="s">
        <v>430</v>
      </c>
      <c r="B403" s="7">
        <v>46113</v>
      </c>
      <c r="C403" s="8" t="s">
        <v>45</v>
      </c>
      <c r="D403" s="8" t="s">
        <v>17</v>
      </c>
      <c r="E403" s="9">
        <v>30</v>
      </c>
      <c r="F403" s="7">
        <v>46143</v>
      </c>
      <c r="G403" s="10">
        <v>3382.19</v>
      </c>
      <c r="H403" s="10">
        <v>507.33</v>
      </c>
      <c r="I403" s="10">
        <v>3889.52</v>
      </c>
      <c r="J403" s="9" t="s">
        <v>2</v>
      </c>
      <c r="K403" s="7">
        <v>46147</v>
      </c>
      <c r="L403" s="9" t="s">
        <v>3</v>
      </c>
      <c r="M403" s="11" cm="1">
        <f t="array" ref="M403">IF(Invoices[[#This Row],[Status]]="Open",MAX(0,AsOf-Invoices[[#This Row],[Due Date]]),IF(Invoices[[#This Row],[Paid Date]]="","",MAX(0,Invoices[[#This Row],[Paid Date]]-Invoices[[#This Row],[Due Date]])))</f>
        <v>4</v>
      </c>
      <c r="N40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04" spans="1:14" ht="17.100000000000001" customHeight="1" x14ac:dyDescent="0.2">
      <c r="A404" s="6" t="s">
        <v>431</v>
      </c>
      <c r="B404" s="7">
        <v>46114</v>
      </c>
      <c r="C404" s="8" t="s">
        <v>5</v>
      </c>
      <c r="D404" s="8" t="s">
        <v>6</v>
      </c>
      <c r="E404" s="9">
        <v>45</v>
      </c>
      <c r="F404" s="7">
        <v>46159</v>
      </c>
      <c r="G404" s="10">
        <v>16875.27</v>
      </c>
      <c r="H404" s="10">
        <v>2531.29</v>
      </c>
      <c r="I404" s="10">
        <v>19406.560000000001</v>
      </c>
      <c r="J404" s="9" t="s">
        <v>2</v>
      </c>
      <c r="K404" s="7">
        <v>46162</v>
      </c>
      <c r="L404" s="9" t="s">
        <v>3</v>
      </c>
      <c r="M404" s="11" cm="1">
        <f t="array" ref="M404">IF(Invoices[[#This Row],[Status]]="Open",MAX(0,AsOf-Invoices[[#This Row],[Due Date]]),IF(Invoices[[#This Row],[Paid Date]]="","",MAX(0,Invoices[[#This Row],[Paid Date]]-Invoices[[#This Row],[Due Date]])))</f>
        <v>3</v>
      </c>
      <c r="N40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05" spans="1:14" ht="17.100000000000001" customHeight="1" x14ac:dyDescent="0.2">
      <c r="A405" s="6" t="s">
        <v>432</v>
      </c>
      <c r="B405" s="7">
        <v>46114</v>
      </c>
      <c r="C405" s="8" t="s">
        <v>34</v>
      </c>
      <c r="D405" s="8" t="s">
        <v>21</v>
      </c>
      <c r="E405" s="9">
        <v>30</v>
      </c>
      <c r="F405" s="7">
        <v>46144</v>
      </c>
      <c r="G405" s="10">
        <v>3462.63</v>
      </c>
      <c r="H405" s="10">
        <v>519.39</v>
      </c>
      <c r="I405" s="10">
        <v>3982.02</v>
      </c>
      <c r="J405" s="9" t="s">
        <v>2</v>
      </c>
      <c r="K405" s="7">
        <v>46153</v>
      </c>
      <c r="L405" s="9" t="s">
        <v>3</v>
      </c>
      <c r="M405" s="11" cm="1">
        <f t="array" ref="M405">IF(Invoices[[#This Row],[Status]]="Open",MAX(0,AsOf-Invoices[[#This Row],[Due Date]]),IF(Invoices[[#This Row],[Paid Date]]="","",MAX(0,Invoices[[#This Row],[Paid Date]]-Invoices[[#This Row],[Due Date]])))</f>
        <v>9</v>
      </c>
      <c r="N40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06" spans="1:14" ht="17.100000000000001" customHeight="1" x14ac:dyDescent="0.2">
      <c r="A406" s="6" t="s">
        <v>433</v>
      </c>
      <c r="B406" s="7">
        <v>46117</v>
      </c>
      <c r="C406" s="8" t="s">
        <v>36</v>
      </c>
      <c r="D406" s="8" t="s">
        <v>17</v>
      </c>
      <c r="E406" s="9">
        <v>30</v>
      </c>
      <c r="F406" s="7">
        <v>46147</v>
      </c>
      <c r="G406" s="10">
        <v>4452.16</v>
      </c>
      <c r="H406" s="10">
        <v>667.82</v>
      </c>
      <c r="I406" s="10">
        <v>5119.9799999999996</v>
      </c>
      <c r="J406" s="9" t="s">
        <v>2</v>
      </c>
      <c r="K406" s="7">
        <v>46155</v>
      </c>
      <c r="L406" s="9" t="s">
        <v>3</v>
      </c>
      <c r="M406" s="11" cm="1">
        <f t="array" ref="M406">IF(Invoices[[#This Row],[Status]]="Open",MAX(0,AsOf-Invoices[[#This Row],[Due Date]]),IF(Invoices[[#This Row],[Paid Date]]="","",MAX(0,Invoices[[#This Row],[Paid Date]]-Invoices[[#This Row],[Due Date]])))</f>
        <v>8</v>
      </c>
      <c r="N40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07" spans="1:14" ht="17.100000000000001" customHeight="1" x14ac:dyDescent="0.2">
      <c r="A407" s="6" t="s">
        <v>434</v>
      </c>
      <c r="B407" s="7">
        <v>46117</v>
      </c>
      <c r="C407" s="8" t="s">
        <v>31</v>
      </c>
      <c r="D407" s="8" t="s">
        <v>6</v>
      </c>
      <c r="E407" s="9">
        <v>60</v>
      </c>
      <c r="F407" s="7">
        <v>46177</v>
      </c>
      <c r="G407" s="10">
        <v>19882.73</v>
      </c>
      <c r="H407" s="10">
        <v>2982.41</v>
      </c>
      <c r="I407" s="10">
        <v>22865.14</v>
      </c>
      <c r="J407" s="9" t="s">
        <v>2</v>
      </c>
      <c r="K407" s="7">
        <v>46172</v>
      </c>
      <c r="L407" s="9" t="s">
        <v>3</v>
      </c>
      <c r="M407" s="11" cm="1">
        <f t="array" ref="M407">IF(Invoices[[#This Row],[Status]]="Open",MAX(0,AsOf-Invoices[[#This Row],[Due Date]]),IF(Invoices[[#This Row],[Paid Date]]="","",MAX(0,Invoices[[#This Row],[Paid Date]]-Invoices[[#This Row],[Due Date]])))</f>
        <v>0</v>
      </c>
      <c r="N40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08" spans="1:14" ht="17.100000000000001" customHeight="1" x14ac:dyDescent="0.2">
      <c r="A408" s="6" t="s">
        <v>435</v>
      </c>
      <c r="B408" s="7">
        <v>46117</v>
      </c>
      <c r="C408" s="8" t="s">
        <v>10</v>
      </c>
      <c r="D408" s="8" t="s">
        <v>11</v>
      </c>
      <c r="E408" s="9">
        <v>30</v>
      </c>
      <c r="F408" s="7">
        <v>46147</v>
      </c>
      <c r="G408" s="10">
        <v>4289.24</v>
      </c>
      <c r="H408" s="10">
        <v>643.39</v>
      </c>
      <c r="I408" s="10">
        <v>4932.63</v>
      </c>
      <c r="J408" s="9" t="s">
        <v>2</v>
      </c>
      <c r="K408" s="7">
        <v>46156</v>
      </c>
      <c r="L408" s="9" t="s">
        <v>3</v>
      </c>
      <c r="M408" s="11" cm="1">
        <f t="array" ref="M408">IF(Invoices[[#This Row],[Status]]="Open",MAX(0,AsOf-Invoices[[#This Row],[Due Date]]),IF(Invoices[[#This Row],[Paid Date]]="","",MAX(0,Invoices[[#This Row],[Paid Date]]-Invoices[[#This Row],[Due Date]])))</f>
        <v>9</v>
      </c>
      <c r="N40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09" spans="1:14" ht="17.100000000000001" customHeight="1" x14ac:dyDescent="0.2">
      <c r="A409" s="6" t="s">
        <v>436</v>
      </c>
      <c r="B409" s="7">
        <v>46117</v>
      </c>
      <c r="C409" s="8" t="s">
        <v>5</v>
      </c>
      <c r="D409" s="8" t="s">
        <v>6</v>
      </c>
      <c r="E409" s="9">
        <v>45</v>
      </c>
      <c r="F409" s="7">
        <v>46162</v>
      </c>
      <c r="G409" s="10">
        <v>6953.15</v>
      </c>
      <c r="H409" s="10">
        <v>1042.97</v>
      </c>
      <c r="I409" s="10">
        <v>7996.12</v>
      </c>
      <c r="J409" s="9" t="s">
        <v>2</v>
      </c>
      <c r="K409" s="7">
        <v>46161</v>
      </c>
      <c r="L409" s="9" t="s">
        <v>3</v>
      </c>
      <c r="M409" s="11" cm="1">
        <f t="array" ref="M409">IF(Invoices[[#This Row],[Status]]="Open",MAX(0,AsOf-Invoices[[#This Row],[Due Date]]),IF(Invoices[[#This Row],[Paid Date]]="","",MAX(0,Invoices[[#This Row],[Paid Date]]-Invoices[[#This Row],[Due Date]])))</f>
        <v>0</v>
      </c>
      <c r="N40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10" spans="1:14" ht="17.100000000000001" customHeight="1" x14ac:dyDescent="0.2">
      <c r="A410" s="6" t="s">
        <v>437</v>
      </c>
      <c r="B410" s="7">
        <v>46117</v>
      </c>
      <c r="C410" s="8" t="s">
        <v>10</v>
      </c>
      <c r="D410" s="8" t="s">
        <v>11</v>
      </c>
      <c r="E410" s="9">
        <v>30</v>
      </c>
      <c r="F410" s="7">
        <v>46147</v>
      </c>
      <c r="G410" s="10">
        <v>14184.6</v>
      </c>
      <c r="H410" s="10">
        <v>2127.69</v>
      </c>
      <c r="I410" s="10">
        <v>16312.29</v>
      </c>
      <c r="J410" s="9" t="s">
        <v>2</v>
      </c>
      <c r="K410" s="7">
        <v>46144</v>
      </c>
      <c r="L410" s="9" t="s">
        <v>3</v>
      </c>
      <c r="M410" s="11" cm="1">
        <f t="array" ref="M410">IF(Invoices[[#This Row],[Status]]="Open",MAX(0,AsOf-Invoices[[#This Row],[Due Date]]),IF(Invoices[[#This Row],[Paid Date]]="","",MAX(0,Invoices[[#This Row],[Paid Date]]-Invoices[[#This Row],[Due Date]])))</f>
        <v>0</v>
      </c>
      <c r="N41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11" spans="1:14" ht="17.100000000000001" customHeight="1" x14ac:dyDescent="0.2">
      <c r="A411" s="6" t="s">
        <v>438</v>
      </c>
      <c r="B411" s="7">
        <v>46117</v>
      </c>
      <c r="C411" s="8" t="s">
        <v>31</v>
      </c>
      <c r="D411" s="8" t="s">
        <v>6</v>
      </c>
      <c r="E411" s="9">
        <v>60</v>
      </c>
      <c r="F411" s="7">
        <v>46177</v>
      </c>
      <c r="G411" s="10">
        <v>9075.43</v>
      </c>
      <c r="H411" s="10">
        <v>1361.31</v>
      </c>
      <c r="I411" s="10">
        <v>10436.74</v>
      </c>
      <c r="J411" s="9" t="s">
        <v>2</v>
      </c>
      <c r="K411" s="7">
        <v>46172</v>
      </c>
      <c r="L411" s="9" t="s">
        <v>3</v>
      </c>
      <c r="M411" s="11" cm="1">
        <f t="array" ref="M411">IF(Invoices[[#This Row],[Status]]="Open",MAX(0,AsOf-Invoices[[#This Row],[Due Date]]),IF(Invoices[[#This Row],[Paid Date]]="","",MAX(0,Invoices[[#This Row],[Paid Date]]-Invoices[[#This Row],[Due Date]])))</f>
        <v>0</v>
      </c>
      <c r="N41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12" spans="1:14" ht="17.100000000000001" customHeight="1" x14ac:dyDescent="0.2">
      <c r="A412" s="6" t="s">
        <v>439</v>
      </c>
      <c r="B412" s="7">
        <v>46118</v>
      </c>
      <c r="C412" s="8" t="s">
        <v>75</v>
      </c>
      <c r="D412" s="8" t="s">
        <v>21</v>
      </c>
      <c r="E412" s="9">
        <v>30</v>
      </c>
      <c r="F412" s="7">
        <v>46148</v>
      </c>
      <c r="G412" s="10">
        <v>8254.4</v>
      </c>
      <c r="H412" s="10">
        <v>1238.1600000000001</v>
      </c>
      <c r="I412" s="10">
        <v>9492.56</v>
      </c>
      <c r="J412" s="9" t="s">
        <v>2</v>
      </c>
      <c r="K412" s="7">
        <v>46143</v>
      </c>
      <c r="L412" s="9" t="s">
        <v>3</v>
      </c>
      <c r="M412" s="11" cm="1">
        <f t="array" ref="M412">IF(Invoices[[#This Row],[Status]]="Open",MAX(0,AsOf-Invoices[[#This Row],[Due Date]]),IF(Invoices[[#This Row],[Paid Date]]="","",MAX(0,Invoices[[#This Row],[Paid Date]]-Invoices[[#This Row],[Due Date]])))</f>
        <v>0</v>
      </c>
      <c r="N41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13" spans="1:14" ht="17.100000000000001" customHeight="1" x14ac:dyDescent="0.2">
      <c r="A413" s="6" t="s">
        <v>440</v>
      </c>
      <c r="B413" s="7">
        <v>46118</v>
      </c>
      <c r="C413" s="8" t="s">
        <v>31</v>
      </c>
      <c r="D413" s="8" t="s">
        <v>6</v>
      </c>
      <c r="E413" s="9">
        <v>60</v>
      </c>
      <c r="F413" s="7">
        <v>46088</v>
      </c>
      <c r="G413" s="10">
        <v>11682.9</v>
      </c>
      <c r="H413" s="10">
        <v>1752.43</v>
      </c>
      <c r="I413" s="10">
        <v>13435.33</v>
      </c>
      <c r="J413" s="9" t="s">
        <v>2</v>
      </c>
      <c r="K413" s="7">
        <v>46179</v>
      </c>
      <c r="L413" s="9" t="s">
        <v>3</v>
      </c>
      <c r="M413" s="11" cm="1">
        <f t="array" ref="M413">IF(Invoices[[#This Row],[Status]]="Open",MAX(0,AsOf-Invoices[[#This Row],[Due Date]]),IF(Invoices[[#This Row],[Paid Date]]="","",MAX(0,Invoices[[#This Row],[Paid Date]]-Invoices[[#This Row],[Due Date]])))</f>
        <v>91</v>
      </c>
      <c r="N41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Due before invoice</v>
      </c>
    </row>
    <row r="414" spans="1:14" ht="17.100000000000001" customHeight="1" x14ac:dyDescent="0.2">
      <c r="A414" s="6" t="s">
        <v>441</v>
      </c>
      <c r="B414" s="7">
        <v>46118</v>
      </c>
      <c r="C414" s="8" t="s">
        <v>31</v>
      </c>
      <c r="D414" s="8" t="s">
        <v>6</v>
      </c>
      <c r="E414" s="9">
        <v>60</v>
      </c>
      <c r="F414" s="7">
        <v>46178</v>
      </c>
      <c r="G414" s="10">
        <v>16532.64</v>
      </c>
      <c r="H414" s="10">
        <v>2479.9</v>
      </c>
      <c r="I414" s="10">
        <v>19012.54</v>
      </c>
      <c r="J414" s="9" t="s">
        <v>2</v>
      </c>
      <c r="K414" s="7">
        <v>46179</v>
      </c>
      <c r="L414" s="9" t="s">
        <v>3</v>
      </c>
      <c r="M414" s="11" cm="1">
        <f t="array" ref="M414">IF(Invoices[[#This Row],[Status]]="Open",MAX(0,AsOf-Invoices[[#This Row],[Due Date]]),IF(Invoices[[#This Row],[Paid Date]]="","",MAX(0,Invoices[[#This Row],[Paid Date]]-Invoices[[#This Row],[Due Date]])))</f>
        <v>1</v>
      </c>
      <c r="N41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15" spans="1:14" ht="17.100000000000001" customHeight="1" x14ac:dyDescent="0.2">
      <c r="A415" s="6" t="s">
        <v>442</v>
      </c>
      <c r="B415" s="7">
        <v>46118</v>
      </c>
      <c r="C415" s="8" t="s">
        <v>89</v>
      </c>
      <c r="D415" s="8" t="s">
        <v>39</v>
      </c>
      <c r="E415" s="9">
        <v>15</v>
      </c>
      <c r="F415" s="7">
        <v>46133</v>
      </c>
      <c r="G415" s="10">
        <v>1739.74</v>
      </c>
      <c r="H415" s="10">
        <v>260.95999999999998</v>
      </c>
      <c r="I415" s="10">
        <v>2000.7</v>
      </c>
      <c r="J415" s="9" t="s">
        <v>2</v>
      </c>
      <c r="K415" s="7">
        <v>46131</v>
      </c>
      <c r="L415" s="9" t="s">
        <v>3</v>
      </c>
      <c r="M415" s="11" cm="1">
        <f t="array" ref="M415">IF(Invoices[[#This Row],[Status]]="Open",MAX(0,AsOf-Invoices[[#This Row],[Due Date]]),IF(Invoices[[#This Row],[Paid Date]]="","",MAX(0,Invoices[[#This Row],[Paid Date]]-Invoices[[#This Row],[Due Date]])))</f>
        <v>0</v>
      </c>
      <c r="N41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16" spans="1:14" ht="17.100000000000001" customHeight="1" x14ac:dyDescent="0.2">
      <c r="A416" s="6" t="s">
        <v>443</v>
      </c>
      <c r="B416" s="7">
        <v>46118</v>
      </c>
      <c r="C416" s="8" t="s">
        <v>31</v>
      </c>
      <c r="D416" s="8" t="s">
        <v>6</v>
      </c>
      <c r="E416" s="9">
        <v>60</v>
      </c>
      <c r="F416" s="7">
        <v>46178</v>
      </c>
      <c r="G416" s="10">
        <v>9114.1200000000008</v>
      </c>
      <c r="H416" s="10">
        <v>1367.12</v>
      </c>
      <c r="I416" s="10">
        <v>10481.24</v>
      </c>
      <c r="J416" s="9" t="s">
        <v>2</v>
      </c>
      <c r="K416" s="7">
        <v>46177</v>
      </c>
      <c r="L416" s="9" t="s">
        <v>3</v>
      </c>
      <c r="M416" s="11" cm="1">
        <f t="array" ref="M416">IF(Invoices[[#This Row],[Status]]="Open",MAX(0,AsOf-Invoices[[#This Row],[Due Date]]),IF(Invoices[[#This Row],[Paid Date]]="","",MAX(0,Invoices[[#This Row],[Paid Date]]-Invoices[[#This Row],[Due Date]])))</f>
        <v>0</v>
      </c>
      <c r="N41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17" spans="1:14" ht="17.100000000000001" customHeight="1" x14ac:dyDescent="0.2">
      <c r="A417" s="6" t="s">
        <v>444</v>
      </c>
      <c r="B417" s="7">
        <v>46119</v>
      </c>
      <c r="C417" s="8" t="s">
        <v>31</v>
      </c>
      <c r="D417" s="8" t="s">
        <v>6</v>
      </c>
      <c r="E417" s="9">
        <v>60</v>
      </c>
      <c r="F417" s="7">
        <v>46179</v>
      </c>
      <c r="G417" s="10">
        <v>3872.5</v>
      </c>
      <c r="H417" s="10">
        <v>580.88</v>
      </c>
      <c r="I417" s="10">
        <v>4453.38</v>
      </c>
      <c r="J417" s="9" t="s">
        <v>2</v>
      </c>
      <c r="K417" s="7">
        <v>46188</v>
      </c>
      <c r="L417" s="9" t="s">
        <v>3</v>
      </c>
      <c r="M417" s="11" cm="1">
        <f t="array" ref="M417">IF(Invoices[[#This Row],[Status]]="Open",MAX(0,AsOf-Invoices[[#This Row],[Due Date]]),IF(Invoices[[#This Row],[Paid Date]]="","",MAX(0,Invoices[[#This Row],[Paid Date]]-Invoices[[#This Row],[Due Date]])))</f>
        <v>9</v>
      </c>
      <c r="N41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18" spans="1:14" ht="17.100000000000001" customHeight="1" x14ac:dyDescent="0.2">
      <c r="A418" s="6" t="s">
        <v>445</v>
      </c>
      <c r="B418" s="7">
        <v>46120</v>
      </c>
      <c r="C418" s="8" t="s">
        <v>8</v>
      </c>
      <c r="D418" s="8" t="s">
        <v>6</v>
      </c>
      <c r="E418" s="9">
        <v>45</v>
      </c>
      <c r="F418" s="7">
        <v>46165</v>
      </c>
      <c r="G418" s="10">
        <v>7745.55</v>
      </c>
      <c r="H418" s="10">
        <v>1161.83</v>
      </c>
      <c r="I418" s="10">
        <v>8907.3799999999992</v>
      </c>
      <c r="J418" s="9" t="s">
        <v>2</v>
      </c>
      <c r="K418" s="7">
        <v>46174</v>
      </c>
      <c r="L418" s="9" t="s">
        <v>3</v>
      </c>
      <c r="M418" s="11" cm="1">
        <f t="array" ref="M418">IF(Invoices[[#This Row],[Status]]="Open",MAX(0,AsOf-Invoices[[#This Row],[Due Date]]),IF(Invoices[[#This Row],[Paid Date]]="","",MAX(0,Invoices[[#This Row],[Paid Date]]-Invoices[[#This Row],[Due Date]])))</f>
        <v>9</v>
      </c>
      <c r="N41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19" spans="1:14" ht="17.100000000000001" customHeight="1" x14ac:dyDescent="0.2">
      <c r="A419" s="6" t="s">
        <v>446</v>
      </c>
      <c r="B419" s="7">
        <v>46120</v>
      </c>
      <c r="C419" s="8" t="s">
        <v>31</v>
      </c>
      <c r="D419" s="8" t="s">
        <v>6</v>
      </c>
      <c r="E419" s="9">
        <v>60</v>
      </c>
      <c r="F419" s="7">
        <v>46180</v>
      </c>
      <c r="G419" s="10">
        <v>12839.56</v>
      </c>
      <c r="H419" s="10">
        <v>1925.93</v>
      </c>
      <c r="I419" s="10">
        <v>14765.49</v>
      </c>
      <c r="J419" s="9" t="s">
        <v>2</v>
      </c>
      <c r="K419" s="7">
        <v>46180</v>
      </c>
      <c r="L419" s="9" t="s">
        <v>3</v>
      </c>
      <c r="M419" s="11" cm="1">
        <f t="array" ref="M419">IF(Invoices[[#This Row],[Status]]="Open",MAX(0,AsOf-Invoices[[#This Row],[Due Date]]),IF(Invoices[[#This Row],[Paid Date]]="","",MAX(0,Invoices[[#This Row],[Paid Date]]-Invoices[[#This Row],[Due Date]])))</f>
        <v>0</v>
      </c>
      <c r="N41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20" spans="1:14" ht="17.100000000000001" customHeight="1" x14ac:dyDescent="0.2">
      <c r="A420" s="6" t="s">
        <v>447</v>
      </c>
      <c r="B420" s="7">
        <v>46120</v>
      </c>
      <c r="C420" s="8" t="s">
        <v>66</v>
      </c>
      <c r="D420" s="8" t="s">
        <v>62</v>
      </c>
      <c r="E420" s="9">
        <v>15</v>
      </c>
      <c r="F420" s="7">
        <v>46135</v>
      </c>
      <c r="G420" s="10">
        <v>1712.16</v>
      </c>
      <c r="H420" s="10">
        <v>256.82</v>
      </c>
      <c r="I420" s="10">
        <v>1968.98</v>
      </c>
      <c r="J420" s="9" t="s">
        <v>2</v>
      </c>
      <c r="K420" s="7">
        <v>46135</v>
      </c>
      <c r="L420" s="9" t="s">
        <v>3</v>
      </c>
      <c r="M420" s="11" cm="1">
        <f t="array" ref="M420">IF(Invoices[[#This Row],[Status]]="Open",MAX(0,AsOf-Invoices[[#This Row],[Due Date]]),IF(Invoices[[#This Row],[Paid Date]]="","",MAX(0,Invoices[[#This Row],[Paid Date]]-Invoices[[#This Row],[Due Date]])))</f>
        <v>0</v>
      </c>
      <c r="N42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21" spans="1:14" ht="17.100000000000001" customHeight="1" x14ac:dyDescent="0.2">
      <c r="A421" s="6" t="s">
        <v>448</v>
      </c>
      <c r="B421" s="7">
        <v>46120</v>
      </c>
      <c r="C421" s="8" t="s">
        <v>45</v>
      </c>
      <c r="D421" s="8" t="s">
        <v>17</v>
      </c>
      <c r="E421" s="9">
        <v>30</v>
      </c>
      <c r="F421" s="7">
        <v>46150</v>
      </c>
      <c r="G421" s="10">
        <v>5601.88</v>
      </c>
      <c r="H421" s="10">
        <v>840.28</v>
      </c>
      <c r="I421" s="10">
        <v>6442.16</v>
      </c>
      <c r="J421" s="9" t="s">
        <v>2</v>
      </c>
      <c r="K421" s="7">
        <v>46156</v>
      </c>
      <c r="L421" s="9" t="s">
        <v>3</v>
      </c>
      <c r="M421" s="11" cm="1">
        <f t="array" ref="M421">IF(Invoices[[#This Row],[Status]]="Open",MAX(0,AsOf-Invoices[[#This Row],[Due Date]]),IF(Invoices[[#This Row],[Paid Date]]="","",MAX(0,Invoices[[#This Row],[Paid Date]]-Invoices[[#This Row],[Due Date]])))</f>
        <v>6</v>
      </c>
      <c r="N42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22" spans="1:14" ht="17.100000000000001" customHeight="1" x14ac:dyDescent="0.2">
      <c r="A422" s="6" t="s">
        <v>449</v>
      </c>
      <c r="B422" s="7">
        <v>46120</v>
      </c>
      <c r="C422" s="8" t="s">
        <v>89</v>
      </c>
      <c r="D422" s="8" t="s">
        <v>39</v>
      </c>
      <c r="E422" s="9">
        <v>15</v>
      </c>
      <c r="F422" s="7">
        <v>46135</v>
      </c>
      <c r="G422" s="10">
        <v>1819.66</v>
      </c>
      <c r="H422" s="10">
        <v>272.95</v>
      </c>
      <c r="I422" s="10">
        <v>2092.61</v>
      </c>
      <c r="J422" s="9" t="s">
        <v>2</v>
      </c>
      <c r="K422" s="7">
        <v>46130</v>
      </c>
      <c r="L422" s="9" t="s">
        <v>3</v>
      </c>
      <c r="M422" s="11" cm="1">
        <f t="array" ref="M422">IF(Invoices[[#This Row],[Status]]="Open",MAX(0,AsOf-Invoices[[#This Row],[Due Date]]),IF(Invoices[[#This Row],[Paid Date]]="","",MAX(0,Invoices[[#This Row],[Paid Date]]-Invoices[[#This Row],[Due Date]])))</f>
        <v>0</v>
      </c>
      <c r="N42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23" spans="1:14" ht="17.100000000000001" customHeight="1" x14ac:dyDescent="0.2">
      <c r="A423" s="6" t="s">
        <v>450</v>
      </c>
      <c r="B423" s="7">
        <v>46121</v>
      </c>
      <c r="C423" s="8" t="s">
        <v>16</v>
      </c>
      <c r="D423" s="8" t="s">
        <v>17</v>
      </c>
      <c r="E423" s="9">
        <v>30</v>
      </c>
      <c r="F423" s="7">
        <v>46151</v>
      </c>
      <c r="G423" s="10">
        <v>2283.16</v>
      </c>
      <c r="H423" s="10">
        <v>342.47</v>
      </c>
      <c r="I423" s="10">
        <v>2625.63</v>
      </c>
      <c r="J423" s="9" t="s">
        <v>2</v>
      </c>
      <c r="K423" s="7">
        <v>46193</v>
      </c>
      <c r="L423" s="9" t="s">
        <v>3</v>
      </c>
      <c r="M423" s="11" cm="1">
        <f t="array" ref="M423">IF(Invoices[[#This Row],[Status]]="Open",MAX(0,AsOf-Invoices[[#This Row],[Due Date]]),IF(Invoices[[#This Row],[Paid Date]]="","",MAX(0,Invoices[[#This Row],[Paid Date]]-Invoices[[#This Row],[Due Date]])))</f>
        <v>42</v>
      </c>
      <c r="N42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24" spans="1:14" ht="17.100000000000001" customHeight="1" x14ac:dyDescent="0.2">
      <c r="A424" s="6" t="s">
        <v>451</v>
      </c>
      <c r="B424" s="7">
        <v>46124</v>
      </c>
      <c r="C424" s="8" t="s">
        <v>36</v>
      </c>
      <c r="D424" s="8" t="s">
        <v>17</v>
      </c>
      <c r="E424" s="9">
        <v>30</v>
      </c>
      <c r="F424" s="7">
        <v>46154</v>
      </c>
      <c r="G424" s="10">
        <v>1757.01</v>
      </c>
      <c r="H424" s="10">
        <v>263.55</v>
      </c>
      <c r="I424" s="10">
        <v>2020.56</v>
      </c>
      <c r="J424" s="9" t="s">
        <v>2</v>
      </c>
      <c r="K424" s="7">
        <v>46240</v>
      </c>
      <c r="L424" s="9" t="s">
        <v>3</v>
      </c>
      <c r="M424" s="11" cm="1">
        <f t="array" ref="M424">IF(Invoices[[#This Row],[Status]]="Open",MAX(0,AsOf-Invoices[[#This Row],[Due Date]]),IF(Invoices[[#This Row],[Paid Date]]="","",MAX(0,Invoices[[#This Row],[Paid Date]]-Invoices[[#This Row],[Due Date]])))</f>
        <v>86</v>
      </c>
      <c r="N42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25" spans="1:14" ht="17.100000000000001" customHeight="1" x14ac:dyDescent="0.2">
      <c r="A425" s="6" t="s">
        <v>452</v>
      </c>
      <c r="B425" s="7">
        <v>46124</v>
      </c>
      <c r="C425" s="8" t="s">
        <v>34</v>
      </c>
      <c r="D425" s="8" t="s">
        <v>21</v>
      </c>
      <c r="E425" s="9">
        <v>30</v>
      </c>
      <c r="F425" s="7">
        <v>46154</v>
      </c>
      <c r="G425" s="10">
        <v>3069.37</v>
      </c>
      <c r="H425" s="10">
        <v>460.41</v>
      </c>
      <c r="I425" s="10">
        <v>3529.78</v>
      </c>
      <c r="J425" s="9" t="s">
        <v>2</v>
      </c>
      <c r="K425" s="7">
        <v>46154</v>
      </c>
      <c r="L425" s="9" t="s">
        <v>3</v>
      </c>
      <c r="M425" s="11" cm="1">
        <f t="array" ref="M425">IF(Invoices[[#This Row],[Status]]="Open",MAX(0,AsOf-Invoices[[#This Row],[Due Date]]),IF(Invoices[[#This Row],[Paid Date]]="","",MAX(0,Invoices[[#This Row],[Paid Date]]-Invoices[[#This Row],[Due Date]])))</f>
        <v>0</v>
      </c>
      <c r="N42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26" spans="1:14" ht="17.100000000000001" customHeight="1" x14ac:dyDescent="0.2">
      <c r="A426" s="6" t="s">
        <v>453</v>
      </c>
      <c r="B426" s="7">
        <v>46124</v>
      </c>
      <c r="C426" s="8" t="s">
        <v>95</v>
      </c>
      <c r="D426" s="8" t="s">
        <v>62</v>
      </c>
      <c r="E426" s="9">
        <v>15</v>
      </c>
      <c r="F426" s="7">
        <v>46139</v>
      </c>
      <c r="G426" s="10">
        <v>1693.49</v>
      </c>
      <c r="H426" s="10">
        <v>254.02</v>
      </c>
      <c r="I426" s="10">
        <v>1947.51</v>
      </c>
      <c r="J426" s="9" t="s">
        <v>2</v>
      </c>
      <c r="K426" s="7">
        <v>46143</v>
      </c>
      <c r="L426" s="9" t="s">
        <v>3</v>
      </c>
      <c r="M426" s="11" cm="1">
        <f t="array" ref="M426">IF(Invoices[[#This Row],[Status]]="Open",MAX(0,AsOf-Invoices[[#This Row],[Due Date]]),IF(Invoices[[#This Row],[Paid Date]]="","",MAX(0,Invoices[[#This Row],[Paid Date]]-Invoices[[#This Row],[Due Date]])))</f>
        <v>4</v>
      </c>
      <c r="N42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27" spans="1:14" ht="17.100000000000001" customHeight="1" x14ac:dyDescent="0.2">
      <c r="A427" s="6" t="s">
        <v>454</v>
      </c>
      <c r="B427" s="7">
        <v>46126</v>
      </c>
      <c r="C427" s="8" t="s">
        <v>31</v>
      </c>
      <c r="D427" s="8" t="s">
        <v>6</v>
      </c>
      <c r="E427" s="9">
        <v>60</v>
      </c>
      <c r="F427" s="7">
        <v>46186</v>
      </c>
      <c r="G427" s="10">
        <v>5903.63</v>
      </c>
      <c r="H427" s="10">
        <v>885.54</v>
      </c>
      <c r="I427" s="10">
        <v>6789.17</v>
      </c>
      <c r="J427" s="9" t="s">
        <v>2</v>
      </c>
      <c r="K427" s="7">
        <v>46186</v>
      </c>
      <c r="L427" s="9" t="s">
        <v>3</v>
      </c>
      <c r="M427" s="11" cm="1">
        <f t="array" ref="M427">IF(Invoices[[#This Row],[Status]]="Open",MAX(0,AsOf-Invoices[[#This Row],[Due Date]]),IF(Invoices[[#This Row],[Paid Date]]="","",MAX(0,Invoices[[#This Row],[Paid Date]]-Invoices[[#This Row],[Due Date]])))</f>
        <v>0</v>
      </c>
      <c r="N42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28" spans="1:14" ht="17.100000000000001" customHeight="1" x14ac:dyDescent="0.2">
      <c r="A428" s="6" t="s">
        <v>455</v>
      </c>
      <c r="B428" s="7">
        <v>46126</v>
      </c>
      <c r="C428" s="8" t="s">
        <v>8</v>
      </c>
      <c r="D428" s="8" t="s">
        <v>6</v>
      </c>
      <c r="E428" s="9">
        <v>45</v>
      </c>
      <c r="F428" s="7">
        <v>46171</v>
      </c>
      <c r="G428" s="10">
        <v>18092.71</v>
      </c>
      <c r="H428" s="10">
        <v>2713.91</v>
      </c>
      <c r="I428" s="10">
        <v>20806.62</v>
      </c>
      <c r="J428" s="9" t="s">
        <v>2</v>
      </c>
      <c r="K428" s="7">
        <v>46166</v>
      </c>
      <c r="L428" s="9" t="s">
        <v>3</v>
      </c>
      <c r="M428" s="11" cm="1">
        <f t="array" ref="M428">IF(Invoices[[#This Row],[Status]]="Open",MAX(0,AsOf-Invoices[[#This Row],[Due Date]]),IF(Invoices[[#This Row],[Paid Date]]="","",MAX(0,Invoices[[#This Row],[Paid Date]]-Invoices[[#This Row],[Due Date]])))</f>
        <v>0</v>
      </c>
      <c r="N42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29" spans="1:14" ht="17.100000000000001" customHeight="1" x14ac:dyDescent="0.2">
      <c r="A429" s="6" t="s">
        <v>456</v>
      </c>
      <c r="B429" s="7">
        <v>46127</v>
      </c>
      <c r="C429" s="8" t="s">
        <v>5</v>
      </c>
      <c r="D429" s="8" t="s">
        <v>6</v>
      </c>
      <c r="E429" s="9">
        <v>45</v>
      </c>
      <c r="F429" s="7">
        <v>46172</v>
      </c>
      <c r="G429" s="10">
        <v>17900.5</v>
      </c>
      <c r="H429" s="10">
        <v>2685.07</v>
      </c>
      <c r="I429" s="10">
        <v>20585.57</v>
      </c>
      <c r="J429" s="9" t="s">
        <v>2</v>
      </c>
      <c r="K429" s="7">
        <v>46167</v>
      </c>
      <c r="L429" s="9" t="s">
        <v>3</v>
      </c>
      <c r="M429" s="11" cm="1">
        <f t="array" ref="M429">IF(Invoices[[#This Row],[Status]]="Open",MAX(0,AsOf-Invoices[[#This Row],[Due Date]]),IF(Invoices[[#This Row],[Paid Date]]="","",MAX(0,Invoices[[#This Row],[Paid Date]]-Invoices[[#This Row],[Due Date]])))</f>
        <v>0</v>
      </c>
      <c r="N42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30" spans="1:14" ht="17.100000000000001" customHeight="1" x14ac:dyDescent="0.2">
      <c r="A430" s="6" t="s">
        <v>457</v>
      </c>
      <c r="B430" s="7">
        <v>46127</v>
      </c>
      <c r="C430" s="8" t="s">
        <v>66</v>
      </c>
      <c r="D430" s="8" t="s">
        <v>62</v>
      </c>
      <c r="E430" s="9">
        <v>15</v>
      </c>
      <c r="F430" s="7">
        <v>46142</v>
      </c>
      <c r="G430" s="10">
        <v>889.95</v>
      </c>
      <c r="H430" s="10">
        <v>133.49</v>
      </c>
      <c r="I430" s="10">
        <v>1023.44</v>
      </c>
      <c r="J430" s="9" t="s">
        <v>2</v>
      </c>
      <c r="K430" s="7">
        <v>46137</v>
      </c>
      <c r="L430" s="9" t="s">
        <v>3</v>
      </c>
      <c r="M430" s="11" cm="1">
        <f t="array" ref="M430">IF(Invoices[[#This Row],[Status]]="Open",MAX(0,AsOf-Invoices[[#This Row],[Due Date]]),IF(Invoices[[#This Row],[Paid Date]]="","",MAX(0,Invoices[[#This Row],[Paid Date]]-Invoices[[#This Row],[Due Date]])))</f>
        <v>0</v>
      </c>
      <c r="N43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31" spans="1:14" ht="17.100000000000001" customHeight="1" x14ac:dyDescent="0.2">
      <c r="A431" s="6" t="s">
        <v>458</v>
      </c>
      <c r="B431" s="7">
        <v>46128</v>
      </c>
      <c r="C431" s="8" t="s">
        <v>38</v>
      </c>
      <c r="D431" s="8" t="s">
        <v>39</v>
      </c>
      <c r="E431" s="9">
        <v>15</v>
      </c>
      <c r="F431" s="7">
        <v>46143</v>
      </c>
      <c r="G431" s="10">
        <v>3466.94</v>
      </c>
      <c r="H431" s="10">
        <v>520.04</v>
      </c>
      <c r="I431" s="10">
        <v>3986.98</v>
      </c>
      <c r="J431" s="9" t="s">
        <v>2</v>
      </c>
      <c r="K431" s="7">
        <v>46147</v>
      </c>
      <c r="L431" s="9" t="s">
        <v>3</v>
      </c>
      <c r="M431" s="11" cm="1">
        <f t="array" ref="M431">IF(Invoices[[#This Row],[Status]]="Open",MAX(0,AsOf-Invoices[[#This Row],[Due Date]]),IF(Invoices[[#This Row],[Paid Date]]="","",MAX(0,Invoices[[#This Row],[Paid Date]]-Invoices[[#This Row],[Due Date]])))</f>
        <v>4</v>
      </c>
      <c r="N43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32" spans="1:14" ht="17.100000000000001" customHeight="1" x14ac:dyDescent="0.2">
      <c r="A432" s="6" t="s">
        <v>459</v>
      </c>
      <c r="B432" s="7">
        <v>46128</v>
      </c>
      <c r="C432" s="8" t="s">
        <v>10</v>
      </c>
      <c r="D432" s="8" t="s">
        <v>11</v>
      </c>
      <c r="E432" s="9">
        <v>30</v>
      </c>
      <c r="F432" s="7">
        <v>46158</v>
      </c>
      <c r="G432" s="10">
        <v>4885.3599999999997</v>
      </c>
      <c r="H432" s="10">
        <v>732.8</v>
      </c>
      <c r="I432" s="10">
        <v>5618.16</v>
      </c>
      <c r="J432" s="9" t="s">
        <v>2</v>
      </c>
      <c r="K432" s="7">
        <v>46155</v>
      </c>
      <c r="L432" s="9" t="s">
        <v>3</v>
      </c>
      <c r="M432" s="11" cm="1">
        <f t="array" ref="M432">IF(Invoices[[#This Row],[Status]]="Open",MAX(0,AsOf-Invoices[[#This Row],[Due Date]]),IF(Invoices[[#This Row],[Paid Date]]="","",MAX(0,Invoices[[#This Row],[Paid Date]]-Invoices[[#This Row],[Due Date]])))</f>
        <v>0</v>
      </c>
      <c r="N43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33" spans="1:14" ht="17.100000000000001" customHeight="1" x14ac:dyDescent="0.2">
      <c r="A433" s="6" t="s">
        <v>460</v>
      </c>
      <c r="B433" s="7">
        <v>46128</v>
      </c>
      <c r="C433" s="8" t="s">
        <v>13</v>
      </c>
      <c r="D433" s="8" t="s">
        <v>1</v>
      </c>
      <c r="E433" s="9">
        <v>30</v>
      </c>
      <c r="F433" s="7">
        <v>46158</v>
      </c>
      <c r="G433" s="10">
        <v>4210.76</v>
      </c>
      <c r="H433" s="10">
        <v>631.61</v>
      </c>
      <c r="I433" s="10">
        <v>4842.37</v>
      </c>
      <c r="J433" s="9" t="s">
        <v>2</v>
      </c>
      <c r="K433" s="7">
        <v>46156</v>
      </c>
      <c r="L433" s="9" t="s">
        <v>3</v>
      </c>
      <c r="M433" s="11" cm="1">
        <f t="array" ref="M433">IF(Invoices[[#This Row],[Status]]="Open",MAX(0,AsOf-Invoices[[#This Row],[Due Date]]),IF(Invoices[[#This Row],[Paid Date]]="","",MAX(0,Invoices[[#This Row],[Paid Date]]-Invoices[[#This Row],[Due Date]])))</f>
        <v>0</v>
      </c>
      <c r="N43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34" spans="1:14" ht="17.100000000000001" customHeight="1" x14ac:dyDescent="0.2">
      <c r="A434" s="6" t="s">
        <v>461</v>
      </c>
      <c r="B434" s="7">
        <v>46128</v>
      </c>
      <c r="C434" s="8" t="s">
        <v>31</v>
      </c>
      <c r="D434" s="8" t="s">
        <v>6</v>
      </c>
      <c r="E434" s="9">
        <v>60</v>
      </c>
      <c r="F434" s="7">
        <v>46188</v>
      </c>
      <c r="G434" s="10">
        <v>22157.58</v>
      </c>
      <c r="H434" s="10">
        <v>3323.64</v>
      </c>
      <c r="I434" s="10">
        <v>25481.22</v>
      </c>
      <c r="J434" s="9" t="s">
        <v>2</v>
      </c>
      <c r="K434" s="7">
        <v>46189</v>
      </c>
      <c r="L434" s="9" t="s">
        <v>3</v>
      </c>
      <c r="M434" s="11" cm="1">
        <f t="array" ref="M434">IF(Invoices[[#This Row],[Status]]="Open",MAX(0,AsOf-Invoices[[#This Row],[Due Date]]),IF(Invoices[[#This Row],[Paid Date]]="","",MAX(0,Invoices[[#This Row],[Paid Date]]-Invoices[[#This Row],[Due Date]])))</f>
        <v>1</v>
      </c>
      <c r="N43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35" spans="1:14" ht="17.100000000000001" customHeight="1" x14ac:dyDescent="0.2">
      <c r="A435" s="6" t="s">
        <v>462</v>
      </c>
      <c r="B435" s="7">
        <v>46128</v>
      </c>
      <c r="C435" s="8" t="s">
        <v>13</v>
      </c>
      <c r="D435" s="8" t="s">
        <v>1</v>
      </c>
      <c r="E435" s="9">
        <v>30</v>
      </c>
      <c r="F435" s="7">
        <v>46158</v>
      </c>
      <c r="G435" s="10">
        <v>4898.8900000000003</v>
      </c>
      <c r="H435" s="10">
        <v>734.83</v>
      </c>
      <c r="I435" s="10">
        <v>5633.72</v>
      </c>
      <c r="J435" s="9" t="s">
        <v>2</v>
      </c>
      <c r="K435" s="7">
        <v>46153</v>
      </c>
      <c r="L435" s="9" t="s">
        <v>3</v>
      </c>
      <c r="M435" s="11" cm="1">
        <f t="array" ref="M435">IF(Invoices[[#This Row],[Status]]="Open",MAX(0,AsOf-Invoices[[#This Row],[Due Date]]),IF(Invoices[[#This Row],[Paid Date]]="","",MAX(0,Invoices[[#This Row],[Paid Date]]-Invoices[[#This Row],[Due Date]])))</f>
        <v>0</v>
      </c>
      <c r="N43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36" spans="1:14" ht="17.100000000000001" customHeight="1" x14ac:dyDescent="0.2">
      <c r="A436" s="6" t="s">
        <v>463</v>
      </c>
      <c r="B436" s="7">
        <v>46131</v>
      </c>
      <c r="C436" s="8" t="s">
        <v>31</v>
      </c>
      <c r="D436" s="8" t="s">
        <v>6</v>
      </c>
      <c r="E436" s="9">
        <v>60</v>
      </c>
      <c r="F436" s="7">
        <v>46191</v>
      </c>
      <c r="G436" s="10">
        <v>20004.89</v>
      </c>
      <c r="H436" s="10">
        <v>3000.73</v>
      </c>
      <c r="I436" s="10">
        <v>23005.62</v>
      </c>
      <c r="J436" s="9" t="s">
        <v>2</v>
      </c>
      <c r="K436" s="7">
        <v>46196</v>
      </c>
      <c r="L436" s="9" t="s">
        <v>3</v>
      </c>
      <c r="M436" s="11" cm="1">
        <f t="array" ref="M436">IF(Invoices[[#This Row],[Status]]="Open",MAX(0,AsOf-Invoices[[#This Row],[Due Date]]),IF(Invoices[[#This Row],[Paid Date]]="","",MAX(0,Invoices[[#This Row],[Paid Date]]-Invoices[[#This Row],[Due Date]])))</f>
        <v>5</v>
      </c>
      <c r="N43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37" spans="1:14" ht="17.100000000000001" customHeight="1" x14ac:dyDescent="0.2">
      <c r="A437" s="6" t="s">
        <v>464</v>
      </c>
      <c r="B437" s="7">
        <v>46131</v>
      </c>
      <c r="C437" s="8" t="s">
        <v>45</v>
      </c>
      <c r="D437" s="8" t="s">
        <v>17</v>
      </c>
      <c r="E437" s="9">
        <v>30</v>
      </c>
      <c r="F437" s="7">
        <v>46161</v>
      </c>
      <c r="G437" s="10">
        <v>2856.08</v>
      </c>
      <c r="H437" s="10">
        <v>428.41</v>
      </c>
      <c r="I437" s="10">
        <v>3284.49</v>
      </c>
      <c r="J437" s="9" t="s">
        <v>2</v>
      </c>
      <c r="K437" s="7">
        <v>46164</v>
      </c>
      <c r="L437" s="9" t="s">
        <v>3</v>
      </c>
      <c r="M437" s="11" cm="1">
        <f t="array" ref="M437">IF(Invoices[[#This Row],[Status]]="Open",MAX(0,AsOf-Invoices[[#This Row],[Due Date]]),IF(Invoices[[#This Row],[Paid Date]]="","",MAX(0,Invoices[[#This Row],[Paid Date]]-Invoices[[#This Row],[Due Date]])))</f>
        <v>3</v>
      </c>
      <c r="N43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38" spans="1:14" ht="17.100000000000001" customHeight="1" x14ac:dyDescent="0.2">
      <c r="A438" s="6" t="s">
        <v>465</v>
      </c>
      <c r="B438" s="7">
        <v>46132</v>
      </c>
      <c r="C438" s="8" t="s">
        <v>8</v>
      </c>
      <c r="D438" s="8" t="s">
        <v>6</v>
      </c>
      <c r="E438" s="9">
        <v>45</v>
      </c>
      <c r="F438" s="7">
        <v>46177</v>
      </c>
      <c r="G438" s="10">
        <v>15946.84</v>
      </c>
      <c r="H438" s="10">
        <v>2392.0300000000002</v>
      </c>
      <c r="I438" s="10">
        <v>18338.87</v>
      </c>
      <c r="J438" s="9" t="s">
        <v>2</v>
      </c>
      <c r="K438" s="7">
        <v>46177</v>
      </c>
      <c r="L438" s="9" t="s">
        <v>3</v>
      </c>
      <c r="M438" s="11" cm="1">
        <f t="array" ref="M438">IF(Invoices[[#This Row],[Status]]="Open",MAX(0,AsOf-Invoices[[#This Row],[Due Date]]),IF(Invoices[[#This Row],[Paid Date]]="","",MAX(0,Invoices[[#This Row],[Paid Date]]-Invoices[[#This Row],[Due Date]])))</f>
        <v>0</v>
      </c>
      <c r="N43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39" spans="1:14" ht="17.100000000000001" customHeight="1" x14ac:dyDescent="0.2">
      <c r="A439" s="6" t="s">
        <v>466</v>
      </c>
      <c r="B439" s="7">
        <v>46132</v>
      </c>
      <c r="C439" s="8" t="s">
        <v>8</v>
      </c>
      <c r="D439" s="8" t="s">
        <v>6</v>
      </c>
      <c r="E439" s="9">
        <v>45</v>
      </c>
      <c r="F439" s="7">
        <v>46177</v>
      </c>
      <c r="G439" s="10">
        <v>10474.65</v>
      </c>
      <c r="H439" s="10">
        <v>1571.2</v>
      </c>
      <c r="I439" s="10">
        <v>12045.85</v>
      </c>
      <c r="J439" s="9" t="s">
        <v>2</v>
      </c>
      <c r="K439" s="7">
        <v>46176</v>
      </c>
      <c r="L439" s="9" t="s">
        <v>3</v>
      </c>
      <c r="M439" s="11" cm="1">
        <f t="array" ref="M439">IF(Invoices[[#This Row],[Status]]="Open",MAX(0,AsOf-Invoices[[#This Row],[Due Date]]),IF(Invoices[[#This Row],[Paid Date]]="","",MAX(0,Invoices[[#This Row],[Paid Date]]-Invoices[[#This Row],[Due Date]])))</f>
        <v>0</v>
      </c>
      <c r="N43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40" spans="1:14" ht="17.100000000000001" customHeight="1" x14ac:dyDescent="0.2">
      <c r="A440" s="6" t="s">
        <v>467</v>
      </c>
      <c r="B440" s="7">
        <v>46132</v>
      </c>
      <c r="C440" s="8" t="s">
        <v>13</v>
      </c>
      <c r="D440" s="8" t="s">
        <v>1</v>
      </c>
      <c r="E440" s="9">
        <v>30</v>
      </c>
      <c r="F440" s="7">
        <v>46162</v>
      </c>
      <c r="G440" s="10">
        <v>7958.62</v>
      </c>
      <c r="H440" s="10">
        <v>1193.79</v>
      </c>
      <c r="I440" s="10">
        <v>9152.41</v>
      </c>
      <c r="J440" s="9" t="s">
        <v>2</v>
      </c>
      <c r="K440" s="7">
        <v>46157</v>
      </c>
      <c r="L440" s="9" t="s">
        <v>3</v>
      </c>
      <c r="M440" s="11" cm="1">
        <f t="array" ref="M440">IF(Invoices[[#This Row],[Status]]="Open",MAX(0,AsOf-Invoices[[#This Row],[Due Date]]),IF(Invoices[[#This Row],[Paid Date]]="","",MAX(0,Invoices[[#This Row],[Paid Date]]-Invoices[[#This Row],[Due Date]])))</f>
        <v>0</v>
      </c>
      <c r="N44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41" spans="1:14" ht="17.100000000000001" customHeight="1" x14ac:dyDescent="0.2">
      <c r="A441" s="6" t="s">
        <v>468</v>
      </c>
      <c r="B441" s="7">
        <v>46132</v>
      </c>
      <c r="C441" s="8" t="s">
        <v>31</v>
      </c>
      <c r="D441" s="8" t="s">
        <v>6</v>
      </c>
      <c r="E441" s="9">
        <v>60</v>
      </c>
      <c r="F441" s="7">
        <v>46192</v>
      </c>
      <c r="G441" s="10">
        <v>6091.5</v>
      </c>
      <c r="H441" s="10">
        <v>913.73</v>
      </c>
      <c r="I441" s="10">
        <v>7005.23</v>
      </c>
      <c r="J441" s="9" t="s">
        <v>2</v>
      </c>
      <c r="K441" s="7">
        <v>46199</v>
      </c>
      <c r="L441" s="9" t="s">
        <v>3</v>
      </c>
      <c r="M441" s="11" cm="1">
        <f t="array" ref="M441">IF(Invoices[[#This Row],[Status]]="Open",MAX(0,AsOf-Invoices[[#This Row],[Due Date]]),IF(Invoices[[#This Row],[Paid Date]]="","",MAX(0,Invoices[[#This Row],[Paid Date]]-Invoices[[#This Row],[Due Date]])))</f>
        <v>7</v>
      </c>
      <c r="N44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42" spans="1:14" ht="17.100000000000001" customHeight="1" x14ac:dyDescent="0.2">
      <c r="A442" s="6" t="s">
        <v>469</v>
      </c>
      <c r="B442" s="7">
        <v>46132</v>
      </c>
      <c r="C442" s="8" t="s">
        <v>45</v>
      </c>
      <c r="D442" s="8" t="s">
        <v>17</v>
      </c>
      <c r="E442" s="9">
        <v>30</v>
      </c>
      <c r="F442" s="7">
        <v>46162</v>
      </c>
      <c r="G442" s="10">
        <v>2379.67</v>
      </c>
      <c r="H442" s="10">
        <v>356.95</v>
      </c>
      <c r="I442" s="10">
        <v>2736.62</v>
      </c>
      <c r="J442" s="9" t="s">
        <v>2</v>
      </c>
      <c r="K442" s="7">
        <v>46169</v>
      </c>
      <c r="L442" s="9" t="s">
        <v>3</v>
      </c>
      <c r="M442" s="11" cm="1">
        <f t="array" ref="M442">IF(Invoices[[#This Row],[Status]]="Open",MAX(0,AsOf-Invoices[[#This Row],[Due Date]]),IF(Invoices[[#This Row],[Paid Date]]="","",MAX(0,Invoices[[#This Row],[Paid Date]]-Invoices[[#This Row],[Due Date]])))</f>
        <v>7</v>
      </c>
      <c r="N44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43" spans="1:14" ht="17.100000000000001" customHeight="1" x14ac:dyDescent="0.2">
      <c r="A443" s="6" t="s">
        <v>470</v>
      </c>
      <c r="B443" s="7">
        <v>46133</v>
      </c>
      <c r="C443" s="8" t="s">
        <v>61</v>
      </c>
      <c r="D443" s="8" t="s">
        <v>62</v>
      </c>
      <c r="E443" s="9">
        <v>15</v>
      </c>
      <c r="F443" s="7">
        <v>46148</v>
      </c>
      <c r="G443" s="10">
        <v>1734.25</v>
      </c>
      <c r="H443" s="10">
        <v>260.14</v>
      </c>
      <c r="I443" s="10">
        <v>1994.39</v>
      </c>
      <c r="J443" s="9" t="s">
        <v>2</v>
      </c>
      <c r="K443" s="7">
        <v>46143</v>
      </c>
      <c r="L443" s="9" t="s">
        <v>3</v>
      </c>
      <c r="M443" s="11" cm="1">
        <f t="array" ref="M443">IF(Invoices[[#This Row],[Status]]="Open",MAX(0,AsOf-Invoices[[#This Row],[Due Date]]),IF(Invoices[[#This Row],[Paid Date]]="","",MAX(0,Invoices[[#This Row],[Paid Date]]-Invoices[[#This Row],[Due Date]])))</f>
        <v>0</v>
      </c>
      <c r="N44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44" spans="1:14" ht="17.100000000000001" customHeight="1" x14ac:dyDescent="0.2">
      <c r="A444" s="6" t="s">
        <v>471</v>
      </c>
      <c r="B444" s="7">
        <v>46133</v>
      </c>
      <c r="C444" s="8" t="s">
        <v>45</v>
      </c>
      <c r="D444" s="8" t="s">
        <v>17</v>
      </c>
      <c r="E444" s="9">
        <v>30</v>
      </c>
      <c r="F444" s="7">
        <v>46163</v>
      </c>
      <c r="G444" s="10">
        <v>1101.9100000000001</v>
      </c>
      <c r="H444" s="10">
        <v>165.29</v>
      </c>
      <c r="I444" s="10">
        <v>1267.2</v>
      </c>
      <c r="J444" s="9" t="s">
        <v>2</v>
      </c>
      <c r="K444" s="7">
        <v>46169</v>
      </c>
      <c r="L444" s="9" t="s">
        <v>3</v>
      </c>
      <c r="M444" s="11" cm="1">
        <f t="array" ref="M444">IF(Invoices[[#This Row],[Status]]="Open",MAX(0,AsOf-Invoices[[#This Row],[Due Date]]),IF(Invoices[[#This Row],[Paid Date]]="","",MAX(0,Invoices[[#This Row],[Paid Date]]-Invoices[[#This Row],[Due Date]])))</f>
        <v>6</v>
      </c>
      <c r="N44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45" spans="1:14" ht="17.100000000000001" customHeight="1" x14ac:dyDescent="0.2">
      <c r="A445" s="6" t="s">
        <v>472</v>
      </c>
      <c r="B445" s="7">
        <v>46135</v>
      </c>
      <c r="C445" s="8" t="s">
        <v>31</v>
      </c>
      <c r="D445" s="8" t="s">
        <v>6</v>
      </c>
      <c r="E445" s="9">
        <v>60</v>
      </c>
      <c r="F445" s="7">
        <v>46195</v>
      </c>
      <c r="G445" s="10">
        <v>10261.4</v>
      </c>
      <c r="H445" s="10">
        <v>1539.21</v>
      </c>
      <c r="I445" s="10">
        <v>11800.61</v>
      </c>
      <c r="J445" s="9" t="s">
        <v>2</v>
      </c>
      <c r="K445" s="7">
        <v>46197</v>
      </c>
      <c r="L445" s="9" t="s">
        <v>3</v>
      </c>
      <c r="M445" s="11" cm="1">
        <f t="array" ref="M445">IF(Invoices[[#This Row],[Status]]="Open",MAX(0,AsOf-Invoices[[#This Row],[Due Date]]),IF(Invoices[[#This Row],[Paid Date]]="","",MAX(0,Invoices[[#This Row],[Paid Date]]-Invoices[[#This Row],[Due Date]])))</f>
        <v>2</v>
      </c>
      <c r="N44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46" spans="1:14" ht="17.100000000000001" customHeight="1" x14ac:dyDescent="0.2">
      <c r="A446" s="6" t="s">
        <v>473</v>
      </c>
      <c r="B446" s="7">
        <v>46135</v>
      </c>
      <c r="C446" s="8" t="s">
        <v>31</v>
      </c>
      <c r="D446" s="8" t="s">
        <v>6</v>
      </c>
      <c r="E446" s="9">
        <v>60</v>
      </c>
      <c r="F446" s="7">
        <v>46195</v>
      </c>
      <c r="G446" s="10">
        <v>7274.5</v>
      </c>
      <c r="H446" s="10">
        <v>1091.17</v>
      </c>
      <c r="I446" s="10">
        <v>8365.67</v>
      </c>
      <c r="J446" s="9" t="s">
        <v>2</v>
      </c>
      <c r="K446" s="7">
        <v>46197</v>
      </c>
      <c r="L446" s="9" t="s">
        <v>3</v>
      </c>
      <c r="M446" s="11" cm="1">
        <f t="array" ref="M446">IF(Invoices[[#This Row],[Status]]="Open",MAX(0,AsOf-Invoices[[#This Row],[Due Date]]),IF(Invoices[[#This Row],[Paid Date]]="","",MAX(0,Invoices[[#This Row],[Paid Date]]-Invoices[[#This Row],[Due Date]])))</f>
        <v>2</v>
      </c>
      <c r="N44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47" spans="1:14" ht="17.100000000000001" customHeight="1" x14ac:dyDescent="0.2">
      <c r="A447" s="6" t="s">
        <v>474</v>
      </c>
      <c r="B447" s="7">
        <v>46138</v>
      </c>
      <c r="C447" s="8" t="s">
        <v>10</v>
      </c>
      <c r="D447" s="8" t="s">
        <v>11</v>
      </c>
      <c r="E447" s="9">
        <v>30</v>
      </c>
      <c r="F447" s="7">
        <v>46168</v>
      </c>
      <c r="G447" s="10">
        <v>4111.72</v>
      </c>
      <c r="H447" s="10">
        <v>616.76</v>
      </c>
      <c r="I447" s="10">
        <v>4728.4799999999996</v>
      </c>
      <c r="J447" s="9" t="s">
        <v>2</v>
      </c>
      <c r="K447" s="7">
        <v>46266</v>
      </c>
      <c r="L447" s="9" t="s">
        <v>3</v>
      </c>
      <c r="M447" s="11" cm="1">
        <f t="array" ref="M447">IF(Invoices[[#This Row],[Status]]="Open",MAX(0,AsOf-Invoices[[#This Row],[Due Date]]),IF(Invoices[[#This Row],[Paid Date]]="","",MAX(0,Invoices[[#This Row],[Paid Date]]-Invoices[[#This Row],[Due Date]])))</f>
        <v>98</v>
      </c>
      <c r="N44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48" spans="1:14" ht="17.100000000000001" customHeight="1" x14ac:dyDescent="0.2">
      <c r="A448" s="6" t="s">
        <v>475</v>
      </c>
      <c r="B448" s="7">
        <v>46138</v>
      </c>
      <c r="C448" s="8" t="s">
        <v>31</v>
      </c>
      <c r="D448" s="8" t="s">
        <v>6</v>
      </c>
      <c r="E448" s="9">
        <v>60</v>
      </c>
      <c r="F448" s="7">
        <v>46198</v>
      </c>
      <c r="G448" s="10">
        <v>9766.2800000000007</v>
      </c>
      <c r="H448" s="10">
        <v>1464.94</v>
      </c>
      <c r="I448" s="10">
        <v>11231.22</v>
      </c>
      <c r="J448" s="9" t="s">
        <v>2</v>
      </c>
      <c r="K448" s="7">
        <v>46200</v>
      </c>
      <c r="L448" s="9" t="s">
        <v>3</v>
      </c>
      <c r="M448" s="11" cm="1">
        <f t="array" ref="M448">IF(Invoices[[#This Row],[Status]]="Open",MAX(0,AsOf-Invoices[[#This Row],[Due Date]]),IF(Invoices[[#This Row],[Paid Date]]="","",MAX(0,Invoices[[#This Row],[Paid Date]]-Invoices[[#This Row],[Due Date]])))</f>
        <v>2</v>
      </c>
      <c r="N44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49" spans="1:14" ht="17.100000000000001" customHeight="1" x14ac:dyDescent="0.2">
      <c r="A449" s="6" t="s">
        <v>476</v>
      </c>
      <c r="B449" s="7">
        <v>46138</v>
      </c>
      <c r="C449" s="8" t="s">
        <v>24</v>
      </c>
      <c r="D449" s="8" t="s">
        <v>25</v>
      </c>
      <c r="E449" s="9">
        <v>60</v>
      </c>
      <c r="F449" s="7">
        <v>46198</v>
      </c>
      <c r="G449" s="10">
        <v>8244.2199999999993</v>
      </c>
      <c r="H449" s="10">
        <v>1236.6300000000001</v>
      </c>
      <c r="I449" s="10">
        <v>9480.85</v>
      </c>
      <c r="J449" s="9" t="s">
        <v>2</v>
      </c>
      <c r="K449" s="7">
        <v>46205</v>
      </c>
      <c r="L449" s="9" t="s">
        <v>3</v>
      </c>
      <c r="M449" s="11" cm="1">
        <f t="array" ref="M449">IF(Invoices[[#This Row],[Status]]="Open",MAX(0,AsOf-Invoices[[#This Row],[Due Date]]),IF(Invoices[[#This Row],[Paid Date]]="","",MAX(0,Invoices[[#This Row],[Paid Date]]-Invoices[[#This Row],[Due Date]])))</f>
        <v>7</v>
      </c>
      <c r="N44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50" spans="1:14" ht="17.100000000000001" customHeight="1" x14ac:dyDescent="0.2">
      <c r="A450" s="6" t="s">
        <v>477</v>
      </c>
      <c r="B450" s="7">
        <v>46138</v>
      </c>
      <c r="C450" s="8" t="s">
        <v>5</v>
      </c>
      <c r="D450" s="8" t="s">
        <v>6</v>
      </c>
      <c r="E450" s="9">
        <v>45</v>
      </c>
      <c r="F450" s="7">
        <v>46183</v>
      </c>
      <c r="G450" s="10">
        <v>8417.18</v>
      </c>
      <c r="H450" s="10">
        <v>1262.58</v>
      </c>
      <c r="I450" s="10">
        <v>9679.76</v>
      </c>
      <c r="J450" s="9" t="s">
        <v>2</v>
      </c>
      <c r="K450" s="7">
        <v>46182</v>
      </c>
      <c r="L450" s="9" t="s">
        <v>3</v>
      </c>
      <c r="M450" s="11" cm="1">
        <f t="array" ref="M450">IF(Invoices[[#This Row],[Status]]="Open",MAX(0,AsOf-Invoices[[#This Row],[Due Date]]),IF(Invoices[[#This Row],[Paid Date]]="","",MAX(0,Invoices[[#This Row],[Paid Date]]-Invoices[[#This Row],[Due Date]])))</f>
        <v>0</v>
      </c>
      <c r="N45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51" spans="1:14" ht="17.100000000000001" customHeight="1" x14ac:dyDescent="0.2">
      <c r="A451" s="6" t="s">
        <v>478</v>
      </c>
      <c r="B451" s="7">
        <v>46138</v>
      </c>
      <c r="C451" s="8" t="s">
        <v>56</v>
      </c>
      <c r="D451" s="8" t="s">
        <v>17</v>
      </c>
      <c r="E451" s="9">
        <v>30</v>
      </c>
      <c r="F451" s="7">
        <v>46168</v>
      </c>
      <c r="G451" s="10">
        <v>4748.5200000000004</v>
      </c>
      <c r="H451" s="10">
        <v>712.28</v>
      </c>
      <c r="I451" s="10">
        <v>5460.8</v>
      </c>
      <c r="J451" s="9" t="s">
        <v>2</v>
      </c>
      <c r="K451" s="7">
        <v>46170</v>
      </c>
      <c r="L451" s="9" t="s">
        <v>3</v>
      </c>
      <c r="M451" s="11" cm="1">
        <f t="array" ref="M451">IF(Invoices[[#This Row],[Status]]="Open",MAX(0,AsOf-Invoices[[#This Row],[Due Date]]),IF(Invoices[[#This Row],[Paid Date]]="","",MAX(0,Invoices[[#This Row],[Paid Date]]-Invoices[[#This Row],[Due Date]])))</f>
        <v>2</v>
      </c>
      <c r="N45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52" spans="1:14" ht="17.100000000000001" customHeight="1" x14ac:dyDescent="0.2">
      <c r="A452" s="6" t="s">
        <v>479</v>
      </c>
      <c r="B452" s="7">
        <v>46138</v>
      </c>
      <c r="C452" s="8" t="s">
        <v>61</v>
      </c>
      <c r="D452" s="8" t="s">
        <v>62</v>
      </c>
      <c r="E452" s="9">
        <v>15</v>
      </c>
      <c r="F452" s="7">
        <v>46153</v>
      </c>
      <c r="G452" s="10">
        <v>2840.63</v>
      </c>
      <c r="H452" s="10">
        <v>426.09</v>
      </c>
      <c r="I452" s="10">
        <v>3266.72</v>
      </c>
      <c r="J452" s="9" t="s">
        <v>2</v>
      </c>
      <c r="K452" s="7">
        <v>46228</v>
      </c>
      <c r="L452" s="9" t="s">
        <v>3</v>
      </c>
      <c r="M452" s="11" cm="1">
        <f t="array" ref="M452">IF(Invoices[[#This Row],[Status]]="Open",MAX(0,AsOf-Invoices[[#This Row],[Due Date]]),IF(Invoices[[#This Row],[Paid Date]]="","",MAX(0,Invoices[[#This Row],[Paid Date]]-Invoices[[#This Row],[Due Date]])))</f>
        <v>75</v>
      </c>
      <c r="N45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53" spans="1:14" ht="17.100000000000001" customHeight="1" x14ac:dyDescent="0.2">
      <c r="A453" s="6" t="s">
        <v>480</v>
      </c>
      <c r="B453" s="7">
        <v>46138</v>
      </c>
      <c r="C453" s="8" t="s">
        <v>38</v>
      </c>
      <c r="D453" s="8" t="s">
        <v>39</v>
      </c>
      <c r="E453" s="9">
        <v>15</v>
      </c>
      <c r="F453" s="7">
        <v>46153</v>
      </c>
      <c r="G453" s="10">
        <v>3863.75</v>
      </c>
      <c r="H453" s="10">
        <v>579.55999999999995</v>
      </c>
      <c r="I453" s="10">
        <v>4443.3100000000004</v>
      </c>
      <c r="J453" s="9" t="s">
        <v>2</v>
      </c>
      <c r="K453" s="7">
        <v>46157</v>
      </c>
      <c r="L453" s="9" t="s">
        <v>3</v>
      </c>
      <c r="M453" s="11" cm="1">
        <f t="array" ref="M453">IF(Invoices[[#This Row],[Status]]="Open",MAX(0,AsOf-Invoices[[#This Row],[Due Date]]),IF(Invoices[[#This Row],[Paid Date]]="","",MAX(0,Invoices[[#This Row],[Paid Date]]-Invoices[[#This Row],[Due Date]])))</f>
        <v>4</v>
      </c>
      <c r="N45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54" spans="1:14" ht="17.100000000000001" customHeight="1" x14ac:dyDescent="0.2">
      <c r="A454" s="6" t="s">
        <v>481</v>
      </c>
      <c r="B454" s="7">
        <v>46139</v>
      </c>
      <c r="C454" s="8" t="s">
        <v>24</v>
      </c>
      <c r="D454" s="8" t="s">
        <v>25</v>
      </c>
      <c r="E454" s="9">
        <v>60</v>
      </c>
      <c r="F454" s="7">
        <v>46199</v>
      </c>
      <c r="G454" s="10">
        <v>9263.3799999999992</v>
      </c>
      <c r="H454" s="10">
        <v>1389.51</v>
      </c>
      <c r="I454" s="10">
        <v>10652.89</v>
      </c>
      <c r="J454" s="9" t="s">
        <v>2</v>
      </c>
      <c r="K454" s="7">
        <v>46200</v>
      </c>
      <c r="L454" s="9" t="s">
        <v>3</v>
      </c>
      <c r="M454" s="11" cm="1">
        <f t="array" ref="M454">IF(Invoices[[#This Row],[Status]]="Open",MAX(0,AsOf-Invoices[[#This Row],[Due Date]]),IF(Invoices[[#This Row],[Paid Date]]="","",MAX(0,Invoices[[#This Row],[Paid Date]]-Invoices[[#This Row],[Due Date]])))</f>
        <v>1</v>
      </c>
      <c r="N45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55" spans="1:14" ht="17.100000000000001" customHeight="1" x14ac:dyDescent="0.2">
      <c r="A455" s="6" t="s">
        <v>482</v>
      </c>
      <c r="B455" s="7">
        <v>46139</v>
      </c>
      <c r="C455" s="8" t="s">
        <v>5</v>
      </c>
      <c r="D455" s="8" t="s">
        <v>6</v>
      </c>
      <c r="E455" s="9">
        <v>45</v>
      </c>
      <c r="F455" s="7">
        <v>46184</v>
      </c>
      <c r="G455" s="10">
        <v>5178.8</v>
      </c>
      <c r="H455" s="10">
        <v>776.82</v>
      </c>
      <c r="I455" s="10">
        <v>5955.62</v>
      </c>
      <c r="J455" s="9" t="s">
        <v>2</v>
      </c>
      <c r="K455" s="7">
        <v>46181</v>
      </c>
      <c r="L455" s="9" t="s">
        <v>3</v>
      </c>
      <c r="M455" s="11" cm="1">
        <f t="array" ref="M455">IF(Invoices[[#This Row],[Status]]="Open",MAX(0,AsOf-Invoices[[#This Row],[Due Date]]),IF(Invoices[[#This Row],[Paid Date]]="","",MAX(0,Invoices[[#This Row],[Paid Date]]-Invoices[[#This Row],[Due Date]])))</f>
        <v>0</v>
      </c>
      <c r="N45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56" spans="1:14" ht="17.100000000000001" customHeight="1" x14ac:dyDescent="0.2">
      <c r="A456" s="6" t="s">
        <v>483</v>
      </c>
      <c r="B456" s="7">
        <v>46140</v>
      </c>
      <c r="C456" s="8" t="s">
        <v>95</v>
      </c>
      <c r="D456" s="8" t="s">
        <v>62</v>
      </c>
      <c r="E456" s="9">
        <v>15</v>
      </c>
      <c r="F456" s="7">
        <v>46155</v>
      </c>
      <c r="G456" s="10">
        <v>1080.32</v>
      </c>
      <c r="H456" s="10">
        <v>162.05000000000001</v>
      </c>
      <c r="I456" s="10">
        <v>1242.3699999999999</v>
      </c>
      <c r="J456" s="9" t="s">
        <v>2</v>
      </c>
      <c r="K456" s="7">
        <v>46150</v>
      </c>
      <c r="L456" s="9" t="s">
        <v>3</v>
      </c>
      <c r="M456" s="11" cm="1">
        <f t="array" ref="M456">IF(Invoices[[#This Row],[Status]]="Open",MAX(0,AsOf-Invoices[[#This Row],[Due Date]]),IF(Invoices[[#This Row],[Paid Date]]="","",MAX(0,Invoices[[#This Row],[Paid Date]]-Invoices[[#This Row],[Due Date]])))</f>
        <v>0</v>
      </c>
      <c r="N45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57" spans="1:14" ht="17.100000000000001" customHeight="1" x14ac:dyDescent="0.2">
      <c r="A457" s="6" t="s">
        <v>484</v>
      </c>
      <c r="B457" s="7">
        <v>46140</v>
      </c>
      <c r="C457" s="8" t="s">
        <v>13</v>
      </c>
      <c r="D457" s="8" t="s">
        <v>1</v>
      </c>
      <c r="E457" s="9">
        <v>30</v>
      </c>
      <c r="F457" s="7">
        <v>46170</v>
      </c>
      <c r="G457" s="10">
        <v>2049.36</v>
      </c>
      <c r="H457" s="10">
        <v>307.39999999999998</v>
      </c>
      <c r="I457" s="10">
        <v>2356.7600000000002</v>
      </c>
      <c r="J457" s="9" t="s">
        <v>2</v>
      </c>
      <c r="K457" s="7">
        <v>46172</v>
      </c>
      <c r="L457" s="9" t="s">
        <v>3</v>
      </c>
      <c r="M457" s="11" cm="1">
        <f t="array" ref="M457">IF(Invoices[[#This Row],[Status]]="Open",MAX(0,AsOf-Invoices[[#This Row],[Due Date]]),IF(Invoices[[#This Row],[Paid Date]]="","",MAX(0,Invoices[[#This Row],[Paid Date]]-Invoices[[#This Row],[Due Date]])))</f>
        <v>2</v>
      </c>
      <c r="N45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58" spans="1:14" ht="17.100000000000001" customHeight="1" x14ac:dyDescent="0.2">
      <c r="A458" s="6" t="s">
        <v>485</v>
      </c>
      <c r="B458" s="7">
        <v>46140</v>
      </c>
      <c r="C458" s="8" t="s">
        <v>20</v>
      </c>
      <c r="D458" s="8" t="s">
        <v>21</v>
      </c>
      <c r="E458" s="9">
        <v>30</v>
      </c>
      <c r="F458" s="7">
        <v>46170</v>
      </c>
      <c r="G458" s="10">
        <v>2092.9499999999998</v>
      </c>
      <c r="H458" s="10">
        <v>313.94</v>
      </c>
      <c r="I458" s="10">
        <v>2406.89</v>
      </c>
      <c r="J458" s="9" t="s">
        <v>2</v>
      </c>
      <c r="K458" s="7">
        <v>46176</v>
      </c>
      <c r="L458" s="9" t="s">
        <v>3</v>
      </c>
      <c r="M458" s="11" cm="1">
        <f t="array" ref="M458">IF(Invoices[[#This Row],[Status]]="Open",MAX(0,AsOf-Invoices[[#This Row],[Due Date]]),IF(Invoices[[#This Row],[Paid Date]]="","",MAX(0,Invoices[[#This Row],[Paid Date]]-Invoices[[#This Row],[Due Date]])))</f>
        <v>6</v>
      </c>
      <c r="N45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59" spans="1:14" ht="17.100000000000001" customHeight="1" x14ac:dyDescent="0.2">
      <c r="A459" s="6" t="s">
        <v>486</v>
      </c>
      <c r="B459" s="7">
        <v>46140</v>
      </c>
      <c r="C459" s="8" t="s">
        <v>31</v>
      </c>
      <c r="D459" s="8" t="s">
        <v>6</v>
      </c>
      <c r="E459" s="9">
        <v>60</v>
      </c>
      <c r="F459" s="7">
        <v>46200</v>
      </c>
      <c r="G459" s="10">
        <v>7588.16</v>
      </c>
      <c r="H459" s="10">
        <v>1138.22</v>
      </c>
      <c r="I459" s="10">
        <v>8726.3799999999992</v>
      </c>
      <c r="J459" s="9" t="s">
        <v>2</v>
      </c>
      <c r="K459" s="7">
        <v>46202</v>
      </c>
      <c r="L459" s="9" t="s">
        <v>3</v>
      </c>
      <c r="M459" s="11" cm="1">
        <f t="array" ref="M459">IF(Invoices[[#This Row],[Status]]="Open",MAX(0,AsOf-Invoices[[#This Row],[Due Date]]),IF(Invoices[[#This Row],[Paid Date]]="","",MAX(0,Invoices[[#This Row],[Paid Date]]-Invoices[[#This Row],[Due Date]])))</f>
        <v>2</v>
      </c>
      <c r="N45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60" spans="1:14" ht="17.100000000000001" customHeight="1" x14ac:dyDescent="0.2">
      <c r="A460" s="6" t="s">
        <v>487</v>
      </c>
      <c r="B460" s="7">
        <v>46140</v>
      </c>
      <c r="C460" s="8" t="s">
        <v>10</v>
      </c>
      <c r="D460" s="8" t="s">
        <v>11</v>
      </c>
      <c r="E460" s="9">
        <v>30</v>
      </c>
      <c r="F460" s="7">
        <v>46170</v>
      </c>
      <c r="G460" s="10">
        <v>3237.3</v>
      </c>
      <c r="H460" s="10">
        <v>485.6</v>
      </c>
      <c r="I460" s="10">
        <v>3722.9</v>
      </c>
      <c r="J460" s="9" t="s">
        <v>2</v>
      </c>
      <c r="K460" s="7">
        <v>46181</v>
      </c>
      <c r="L460" s="9" t="s">
        <v>3</v>
      </c>
      <c r="M460" s="11" cm="1">
        <f t="array" ref="M460">IF(Invoices[[#This Row],[Status]]="Open",MAX(0,AsOf-Invoices[[#This Row],[Due Date]]),IF(Invoices[[#This Row],[Paid Date]]="","",MAX(0,Invoices[[#This Row],[Paid Date]]-Invoices[[#This Row],[Due Date]])))</f>
        <v>11</v>
      </c>
      <c r="N46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61" spans="1:14" ht="17.100000000000001" customHeight="1" x14ac:dyDescent="0.2">
      <c r="A461" s="6" t="s">
        <v>488</v>
      </c>
      <c r="B461" s="7">
        <v>46140</v>
      </c>
      <c r="C461" s="8" t="s">
        <v>54</v>
      </c>
      <c r="D461" s="8" t="s">
        <v>11</v>
      </c>
      <c r="E461" s="9">
        <v>30</v>
      </c>
      <c r="F461" s="7">
        <v>46170</v>
      </c>
      <c r="G461" s="10">
        <v>4702.6899999999996</v>
      </c>
      <c r="H461" s="10">
        <v>705.4</v>
      </c>
      <c r="I461" s="10">
        <v>5408.09</v>
      </c>
      <c r="J461" s="9" t="s">
        <v>2</v>
      </c>
      <c r="K461" s="7">
        <v>46177</v>
      </c>
      <c r="L461" s="9" t="s">
        <v>3</v>
      </c>
      <c r="M461" s="11" cm="1">
        <f t="array" ref="M461">IF(Invoices[[#This Row],[Status]]="Open",MAX(0,AsOf-Invoices[[#This Row],[Due Date]]),IF(Invoices[[#This Row],[Paid Date]]="","",MAX(0,Invoices[[#This Row],[Paid Date]]-Invoices[[#This Row],[Due Date]])))</f>
        <v>7</v>
      </c>
      <c r="N46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62" spans="1:14" ht="17.100000000000001" customHeight="1" x14ac:dyDescent="0.2">
      <c r="A462" s="6" t="s">
        <v>489</v>
      </c>
      <c r="B462" s="7">
        <v>46141</v>
      </c>
      <c r="C462" s="8" t="s">
        <v>5</v>
      </c>
      <c r="D462" s="8" t="s">
        <v>6</v>
      </c>
      <c r="E462" s="9">
        <v>45</v>
      </c>
      <c r="F462" s="7">
        <v>46186</v>
      </c>
      <c r="G462" s="10">
        <v>8793.86</v>
      </c>
      <c r="H462" s="10">
        <v>1319.08</v>
      </c>
      <c r="I462" s="10">
        <v>10112.94</v>
      </c>
      <c r="J462" s="9" t="s">
        <v>2</v>
      </c>
      <c r="K462" s="7">
        <v>46189</v>
      </c>
      <c r="L462" s="9" t="s">
        <v>3</v>
      </c>
      <c r="M462" s="11" cm="1">
        <f t="array" ref="M462">IF(Invoices[[#This Row],[Status]]="Open",MAX(0,AsOf-Invoices[[#This Row],[Due Date]]),IF(Invoices[[#This Row],[Paid Date]]="","",MAX(0,Invoices[[#This Row],[Paid Date]]-Invoices[[#This Row],[Due Date]])))</f>
        <v>3</v>
      </c>
      <c r="N46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63" spans="1:14" ht="17.100000000000001" customHeight="1" x14ac:dyDescent="0.2">
      <c r="A463" s="6" t="s">
        <v>490</v>
      </c>
      <c r="B463" s="7">
        <v>46141</v>
      </c>
      <c r="C463" s="8" t="s">
        <v>13</v>
      </c>
      <c r="D463" s="8" t="s">
        <v>1</v>
      </c>
      <c r="E463" s="9">
        <v>30</v>
      </c>
      <c r="F463" s="7">
        <v>46171</v>
      </c>
      <c r="G463" s="10">
        <v>4328.43</v>
      </c>
      <c r="H463" s="10">
        <v>649.26</v>
      </c>
      <c r="I463" s="10">
        <v>4977.6899999999996</v>
      </c>
      <c r="J463" s="9" t="s">
        <v>2</v>
      </c>
      <c r="K463" s="7">
        <v>46166</v>
      </c>
      <c r="L463" s="9" t="s">
        <v>3</v>
      </c>
      <c r="M463" s="11" cm="1">
        <f t="array" ref="M463">IF(Invoices[[#This Row],[Status]]="Open",MAX(0,AsOf-Invoices[[#This Row],[Due Date]]),IF(Invoices[[#This Row],[Paid Date]]="","",MAX(0,Invoices[[#This Row],[Paid Date]]-Invoices[[#This Row],[Due Date]])))</f>
        <v>0</v>
      </c>
      <c r="N46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64" spans="1:14" ht="17.100000000000001" customHeight="1" x14ac:dyDescent="0.2">
      <c r="A464" s="6" t="s">
        <v>491</v>
      </c>
      <c r="B464" s="7">
        <v>46141</v>
      </c>
      <c r="C464" s="8" t="s">
        <v>31</v>
      </c>
      <c r="D464" s="8" t="s">
        <v>6</v>
      </c>
      <c r="E464" s="9">
        <v>60</v>
      </c>
      <c r="F464" s="7">
        <v>46201</v>
      </c>
      <c r="G464" s="10">
        <v>8152.16</v>
      </c>
      <c r="H464" s="10">
        <v>1222.82</v>
      </c>
      <c r="I464" s="10">
        <v>9374.98</v>
      </c>
      <c r="J464" s="9" t="s">
        <v>2</v>
      </c>
      <c r="K464" s="7">
        <v>46202</v>
      </c>
      <c r="L464" s="9" t="s">
        <v>3</v>
      </c>
      <c r="M464" s="11" cm="1">
        <f t="array" ref="M464">IF(Invoices[[#This Row],[Status]]="Open",MAX(0,AsOf-Invoices[[#This Row],[Due Date]]),IF(Invoices[[#This Row],[Paid Date]]="","",MAX(0,Invoices[[#This Row],[Paid Date]]-Invoices[[#This Row],[Due Date]])))</f>
        <v>1</v>
      </c>
      <c r="N46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65" spans="1:14" ht="17.100000000000001" customHeight="1" x14ac:dyDescent="0.2">
      <c r="A465" s="6" t="s">
        <v>492</v>
      </c>
      <c r="B465" s="7">
        <v>46141</v>
      </c>
      <c r="C465" s="8" t="s">
        <v>24</v>
      </c>
      <c r="D465" s="8" t="s">
        <v>25</v>
      </c>
      <c r="E465" s="9">
        <v>60</v>
      </c>
      <c r="F465" s="7">
        <v>46201</v>
      </c>
      <c r="G465" s="10">
        <v>4561.24</v>
      </c>
      <c r="H465" s="10">
        <v>684.19</v>
      </c>
      <c r="I465" s="10">
        <v>5245.43</v>
      </c>
      <c r="J465" s="9" t="s">
        <v>2</v>
      </c>
      <c r="K465" s="7">
        <v>46205</v>
      </c>
      <c r="L465" s="9" t="s">
        <v>3</v>
      </c>
      <c r="M465" s="11" cm="1">
        <f t="array" ref="M465">IF(Invoices[[#This Row],[Status]]="Open",MAX(0,AsOf-Invoices[[#This Row],[Due Date]]),IF(Invoices[[#This Row],[Paid Date]]="","",MAX(0,Invoices[[#This Row],[Paid Date]]-Invoices[[#This Row],[Due Date]])))</f>
        <v>4</v>
      </c>
      <c r="N46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66" spans="1:14" ht="17.100000000000001" customHeight="1" x14ac:dyDescent="0.2">
      <c r="A466" s="6" t="s">
        <v>493</v>
      </c>
      <c r="B466" s="7">
        <v>46141</v>
      </c>
      <c r="C466" s="8" t="s">
        <v>89</v>
      </c>
      <c r="D466" s="8" t="s">
        <v>39</v>
      </c>
      <c r="E466" s="9">
        <v>15</v>
      </c>
      <c r="F466" s="7">
        <v>46156</v>
      </c>
      <c r="G466" s="10">
        <v>1831.77</v>
      </c>
      <c r="H466" s="10">
        <v>274.77</v>
      </c>
      <c r="I466" s="10">
        <v>2106.54</v>
      </c>
      <c r="J466" s="9" t="s">
        <v>2</v>
      </c>
      <c r="K466" s="7">
        <v>46159</v>
      </c>
      <c r="L466" s="9" t="s">
        <v>3</v>
      </c>
      <c r="M466" s="11" cm="1">
        <f t="array" ref="M466">IF(Invoices[[#This Row],[Status]]="Open",MAX(0,AsOf-Invoices[[#This Row],[Due Date]]),IF(Invoices[[#This Row],[Paid Date]]="","",MAX(0,Invoices[[#This Row],[Paid Date]]-Invoices[[#This Row],[Due Date]])))</f>
        <v>3</v>
      </c>
      <c r="N46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67" spans="1:14" ht="17.100000000000001" customHeight="1" x14ac:dyDescent="0.2">
      <c r="A467" s="6" t="s">
        <v>494</v>
      </c>
      <c r="B467" s="7">
        <v>46142</v>
      </c>
      <c r="C467" s="8" t="s">
        <v>8</v>
      </c>
      <c r="D467" s="8" t="s">
        <v>6</v>
      </c>
      <c r="E467" s="9">
        <v>45</v>
      </c>
      <c r="F467" s="7">
        <v>46187</v>
      </c>
      <c r="G467" s="10">
        <v>6306.05</v>
      </c>
      <c r="H467" s="10">
        <v>945.91</v>
      </c>
      <c r="I467" s="10">
        <v>7251.96</v>
      </c>
      <c r="J467" s="9" t="s">
        <v>2</v>
      </c>
      <c r="K467" s="7">
        <v>46192</v>
      </c>
      <c r="L467" s="9" t="s">
        <v>3</v>
      </c>
      <c r="M467" s="11" cm="1">
        <f t="array" ref="M467">IF(Invoices[[#This Row],[Status]]="Open",MAX(0,AsOf-Invoices[[#This Row],[Due Date]]),IF(Invoices[[#This Row],[Paid Date]]="","",MAX(0,Invoices[[#This Row],[Paid Date]]-Invoices[[#This Row],[Due Date]])))</f>
        <v>5</v>
      </c>
      <c r="N46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68" spans="1:14" ht="17.100000000000001" customHeight="1" x14ac:dyDescent="0.2">
      <c r="A468" s="6" t="s">
        <v>495</v>
      </c>
      <c r="B468" s="7">
        <v>46142</v>
      </c>
      <c r="C468" s="8" t="s">
        <v>10</v>
      </c>
      <c r="D468" s="8" t="s">
        <v>11</v>
      </c>
      <c r="E468" s="9">
        <v>30</v>
      </c>
      <c r="F468" s="7">
        <v>46172</v>
      </c>
      <c r="G468" s="10">
        <v>4861.18</v>
      </c>
      <c r="H468" s="10">
        <v>729.18</v>
      </c>
      <c r="I468" s="10">
        <v>5590.36</v>
      </c>
      <c r="J468" s="9" t="s">
        <v>2</v>
      </c>
      <c r="K468" s="7">
        <v>46176</v>
      </c>
      <c r="L468" s="9" t="s">
        <v>3</v>
      </c>
      <c r="M468" s="11" cm="1">
        <f t="array" ref="M468">IF(Invoices[[#This Row],[Status]]="Open",MAX(0,AsOf-Invoices[[#This Row],[Due Date]]),IF(Invoices[[#This Row],[Paid Date]]="","",MAX(0,Invoices[[#This Row],[Paid Date]]-Invoices[[#This Row],[Due Date]])))</f>
        <v>4</v>
      </c>
      <c r="N46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69" spans="1:14" ht="17.100000000000001" customHeight="1" x14ac:dyDescent="0.2">
      <c r="A469" s="6" t="s">
        <v>496</v>
      </c>
      <c r="B469" s="7">
        <v>46142</v>
      </c>
      <c r="C469" s="8" t="s">
        <v>5</v>
      </c>
      <c r="D469" s="8" t="s">
        <v>6</v>
      </c>
      <c r="E469" s="9">
        <v>45</v>
      </c>
      <c r="F469" s="7">
        <v>46187</v>
      </c>
      <c r="G469" s="10">
        <v>8316.27</v>
      </c>
      <c r="H469" s="10">
        <v>1247.44</v>
      </c>
      <c r="I469" s="10">
        <v>9563.7099999999991</v>
      </c>
      <c r="J469" s="9" t="s">
        <v>2</v>
      </c>
      <c r="K469" s="7">
        <v>46187</v>
      </c>
      <c r="L469" s="9" t="s">
        <v>3</v>
      </c>
      <c r="M469" s="11" cm="1">
        <f t="array" ref="M469">IF(Invoices[[#This Row],[Status]]="Open",MAX(0,AsOf-Invoices[[#This Row],[Due Date]]),IF(Invoices[[#This Row],[Paid Date]]="","",MAX(0,Invoices[[#This Row],[Paid Date]]-Invoices[[#This Row],[Due Date]])))</f>
        <v>0</v>
      </c>
      <c r="N46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70" spans="1:14" ht="17.100000000000001" customHeight="1" x14ac:dyDescent="0.2">
      <c r="A470" s="6" t="s">
        <v>497</v>
      </c>
      <c r="B470" s="7">
        <v>46142</v>
      </c>
      <c r="C470" s="8" t="s">
        <v>34</v>
      </c>
      <c r="D470" s="8" t="s">
        <v>21</v>
      </c>
      <c r="E470" s="9">
        <v>30</v>
      </c>
      <c r="F470" s="7">
        <v>46172</v>
      </c>
      <c r="G470" s="10">
        <v>2463.8000000000002</v>
      </c>
      <c r="H470" s="10">
        <v>369.57</v>
      </c>
      <c r="I470" s="10">
        <v>2833.37</v>
      </c>
      <c r="J470" s="9" t="s">
        <v>2</v>
      </c>
      <c r="K470" s="7">
        <v>46176</v>
      </c>
      <c r="L470" s="9" t="s">
        <v>3</v>
      </c>
      <c r="M470" s="11" cm="1">
        <f t="array" ref="M470">IF(Invoices[[#This Row],[Status]]="Open",MAX(0,AsOf-Invoices[[#This Row],[Due Date]]),IF(Invoices[[#This Row],[Paid Date]]="","",MAX(0,Invoices[[#This Row],[Paid Date]]-Invoices[[#This Row],[Due Date]])))</f>
        <v>4</v>
      </c>
      <c r="N47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71" spans="1:14" ht="17.100000000000001" customHeight="1" x14ac:dyDescent="0.2">
      <c r="A471" s="6" t="s">
        <v>498</v>
      </c>
      <c r="B471" s="7">
        <v>46142</v>
      </c>
      <c r="C471" s="8" t="s">
        <v>54</v>
      </c>
      <c r="D471" s="8" t="s">
        <v>11</v>
      </c>
      <c r="E471" s="9">
        <v>30</v>
      </c>
      <c r="F471" s="7">
        <v>46172</v>
      </c>
      <c r="G471" s="10">
        <v>5534.51</v>
      </c>
      <c r="H471" s="10">
        <v>830.18</v>
      </c>
      <c r="I471" s="10">
        <v>6364.69</v>
      </c>
      <c r="J471" s="9" t="s">
        <v>2</v>
      </c>
      <c r="K471" s="7">
        <v>46174</v>
      </c>
      <c r="L471" s="9" t="s">
        <v>3</v>
      </c>
      <c r="M471" s="11" cm="1">
        <f t="array" ref="M471">IF(Invoices[[#This Row],[Status]]="Open",MAX(0,AsOf-Invoices[[#This Row],[Due Date]]),IF(Invoices[[#This Row],[Paid Date]]="","",MAX(0,Invoices[[#This Row],[Paid Date]]-Invoices[[#This Row],[Due Date]])))</f>
        <v>2</v>
      </c>
      <c r="N47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72" spans="1:14" ht="17.100000000000001" customHeight="1" x14ac:dyDescent="0.2">
      <c r="A472" s="6" t="s">
        <v>499</v>
      </c>
      <c r="B472" s="7">
        <v>46145</v>
      </c>
      <c r="C472" s="8" t="s">
        <v>16</v>
      </c>
      <c r="D472" s="8" t="s">
        <v>17</v>
      </c>
      <c r="E472" s="9">
        <v>30</v>
      </c>
      <c r="F472" s="7">
        <v>46175</v>
      </c>
      <c r="G472" s="10">
        <v>1467.33</v>
      </c>
      <c r="H472" s="10">
        <v>220.1</v>
      </c>
      <c r="I472" s="10">
        <v>1687.43</v>
      </c>
      <c r="J472" s="9" t="s">
        <v>2</v>
      </c>
      <c r="K472" s="7">
        <v>46182</v>
      </c>
      <c r="L472" s="9" t="s">
        <v>3</v>
      </c>
      <c r="M472" s="11" cm="1">
        <f t="array" ref="M472">IF(Invoices[[#This Row],[Status]]="Open",MAX(0,AsOf-Invoices[[#This Row],[Due Date]]),IF(Invoices[[#This Row],[Paid Date]]="","",MAX(0,Invoices[[#This Row],[Paid Date]]-Invoices[[#This Row],[Due Date]])))</f>
        <v>7</v>
      </c>
      <c r="N47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73" spans="1:14" ht="17.100000000000001" customHeight="1" x14ac:dyDescent="0.2">
      <c r="A473" s="6" t="s">
        <v>500</v>
      </c>
      <c r="B473" s="7">
        <v>46145</v>
      </c>
      <c r="C473" s="8" t="s">
        <v>10</v>
      </c>
      <c r="D473" s="8" t="s">
        <v>11</v>
      </c>
      <c r="E473" s="9">
        <v>30</v>
      </c>
      <c r="F473" s="7">
        <v>46175</v>
      </c>
      <c r="G473" s="10">
        <v>4484.82</v>
      </c>
      <c r="H473" s="10">
        <v>672.72</v>
      </c>
      <c r="I473" s="10">
        <v>5157.54</v>
      </c>
      <c r="J473" s="9" t="s">
        <v>2</v>
      </c>
      <c r="K473" s="7">
        <v>46178</v>
      </c>
      <c r="L473" s="9" t="s">
        <v>3</v>
      </c>
      <c r="M473" s="11" cm="1">
        <f t="array" ref="M473">IF(Invoices[[#This Row],[Status]]="Open",MAX(0,AsOf-Invoices[[#This Row],[Due Date]]),IF(Invoices[[#This Row],[Paid Date]]="","",MAX(0,Invoices[[#This Row],[Paid Date]]-Invoices[[#This Row],[Due Date]])))</f>
        <v>3</v>
      </c>
      <c r="N47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74" spans="1:14" ht="17.100000000000001" customHeight="1" x14ac:dyDescent="0.2">
      <c r="A474" s="6" t="s">
        <v>501</v>
      </c>
      <c r="B474" s="7">
        <v>46146</v>
      </c>
      <c r="C474" s="8" t="s">
        <v>31</v>
      </c>
      <c r="D474" s="8" t="s">
        <v>6</v>
      </c>
      <c r="E474" s="9">
        <v>60</v>
      </c>
      <c r="F474" s="7">
        <v>46146</v>
      </c>
      <c r="G474" s="10">
        <v>-5125.74</v>
      </c>
      <c r="H474" s="10">
        <v>-768.86</v>
      </c>
      <c r="I474" s="10">
        <v>-5894.6</v>
      </c>
      <c r="J474" s="9" t="s">
        <v>111</v>
      </c>
      <c r="K474" s="7"/>
      <c r="L474" s="9" t="s">
        <v>112</v>
      </c>
      <c r="M474" s="11" t="str" cm="1">
        <f t="array" ref="M474">IF(Invoices[[#This Row],[Status]]="Open",MAX(0,AsOf-Invoices[[#This Row],[Due Date]]),IF(Invoices[[#This Row],[Paid Date]]="","",MAX(0,Invoices[[#This Row],[Paid Date]]-Invoices[[#This Row],[Due Date]])))</f>
        <v/>
      </c>
      <c r="N47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75" spans="1:14" ht="17.100000000000001" customHeight="1" x14ac:dyDescent="0.2">
      <c r="A475" s="6" t="s">
        <v>502</v>
      </c>
      <c r="B475" s="7">
        <v>46146</v>
      </c>
      <c r="C475" s="8" t="s">
        <v>54</v>
      </c>
      <c r="D475" s="8" t="s">
        <v>11</v>
      </c>
      <c r="E475" s="9">
        <v>30</v>
      </c>
      <c r="F475" s="7">
        <v>46176</v>
      </c>
      <c r="G475" s="10">
        <v>6177.5</v>
      </c>
      <c r="H475" s="10">
        <v>926.62</v>
      </c>
      <c r="I475" s="10">
        <v>7104.12</v>
      </c>
      <c r="J475" s="9" t="s">
        <v>2</v>
      </c>
      <c r="K475" s="7">
        <v>46181</v>
      </c>
      <c r="L475" s="9" t="s">
        <v>3</v>
      </c>
      <c r="M475" s="11" cm="1">
        <f t="array" ref="M475">IF(Invoices[[#This Row],[Status]]="Open",MAX(0,AsOf-Invoices[[#This Row],[Due Date]]),IF(Invoices[[#This Row],[Paid Date]]="","",MAX(0,Invoices[[#This Row],[Paid Date]]-Invoices[[#This Row],[Due Date]])))</f>
        <v>5</v>
      </c>
      <c r="N47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76" spans="1:14" ht="17.100000000000001" customHeight="1" x14ac:dyDescent="0.2">
      <c r="A476" s="6" t="s">
        <v>503</v>
      </c>
      <c r="B476" s="7">
        <v>46146</v>
      </c>
      <c r="C476" s="8" t="s">
        <v>16</v>
      </c>
      <c r="D476" s="8" t="s">
        <v>17</v>
      </c>
      <c r="E476" s="9">
        <v>30</v>
      </c>
      <c r="F476" s="7">
        <v>46176</v>
      </c>
      <c r="G476" s="10">
        <v>3218.88</v>
      </c>
      <c r="H476" s="10">
        <v>482.83</v>
      </c>
      <c r="I476" s="10">
        <v>3701.71</v>
      </c>
      <c r="J476" s="9" t="s">
        <v>2</v>
      </c>
      <c r="K476" s="7">
        <v>46188</v>
      </c>
      <c r="L476" s="9" t="s">
        <v>3</v>
      </c>
      <c r="M476" s="11" cm="1">
        <f t="array" ref="M476">IF(Invoices[[#This Row],[Status]]="Open",MAX(0,AsOf-Invoices[[#This Row],[Due Date]]),IF(Invoices[[#This Row],[Paid Date]]="","",MAX(0,Invoices[[#This Row],[Paid Date]]-Invoices[[#This Row],[Due Date]])))</f>
        <v>12</v>
      </c>
      <c r="N47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77" spans="1:14" ht="17.100000000000001" customHeight="1" x14ac:dyDescent="0.2">
      <c r="A477" s="6" t="s">
        <v>504</v>
      </c>
      <c r="B477" s="7">
        <v>46147</v>
      </c>
      <c r="C477" s="8" t="s">
        <v>13</v>
      </c>
      <c r="D477" s="8" t="s">
        <v>1</v>
      </c>
      <c r="E477" s="9">
        <v>30</v>
      </c>
      <c r="F477" s="7">
        <v>46177</v>
      </c>
      <c r="G477" s="10">
        <v>4926.25</v>
      </c>
      <c r="H477" s="10">
        <v>738.94</v>
      </c>
      <c r="I477" s="10">
        <v>5665.19</v>
      </c>
      <c r="J477" s="9" t="s">
        <v>2</v>
      </c>
      <c r="K477" s="7">
        <v>46172</v>
      </c>
      <c r="L477" s="9" t="s">
        <v>3</v>
      </c>
      <c r="M477" s="11" cm="1">
        <f t="array" ref="M477">IF(Invoices[[#This Row],[Status]]="Open",MAX(0,AsOf-Invoices[[#This Row],[Due Date]]),IF(Invoices[[#This Row],[Paid Date]]="","",MAX(0,Invoices[[#This Row],[Paid Date]]-Invoices[[#This Row],[Due Date]])))</f>
        <v>0</v>
      </c>
      <c r="N47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78" spans="1:14" ht="17.100000000000001" customHeight="1" x14ac:dyDescent="0.2">
      <c r="A478" s="6" t="s">
        <v>505</v>
      </c>
      <c r="B478" s="7">
        <v>46148</v>
      </c>
      <c r="C478" s="8" t="s">
        <v>31</v>
      </c>
      <c r="D478" s="8" t="s">
        <v>6</v>
      </c>
      <c r="E478" s="9">
        <v>60</v>
      </c>
      <c r="F478" s="7">
        <v>46208</v>
      </c>
      <c r="G478" s="10">
        <v>13608.14</v>
      </c>
      <c r="H478" s="10">
        <v>2041.22</v>
      </c>
      <c r="I478" s="10">
        <v>15649.36</v>
      </c>
      <c r="J478" s="9" t="s">
        <v>2</v>
      </c>
      <c r="K478" s="7">
        <v>46208</v>
      </c>
      <c r="L478" s="9" t="s">
        <v>3</v>
      </c>
      <c r="M478" s="11" cm="1">
        <f t="array" ref="M478">IF(Invoices[[#This Row],[Status]]="Open",MAX(0,AsOf-Invoices[[#This Row],[Due Date]]),IF(Invoices[[#This Row],[Paid Date]]="","",MAX(0,Invoices[[#This Row],[Paid Date]]-Invoices[[#This Row],[Due Date]])))</f>
        <v>0</v>
      </c>
      <c r="N47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79" spans="1:14" ht="17.100000000000001" customHeight="1" x14ac:dyDescent="0.2">
      <c r="A479" s="6" t="s">
        <v>506</v>
      </c>
      <c r="B479" s="7">
        <v>46149</v>
      </c>
      <c r="C479" s="8" t="s">
        <v>24</v>
      </c>
      <c r="D479" s="8" t="s">
        <v>25</v>
      </c>
      <c r="E479" s="9">
        <v>60</v>
      </c>
      <c r="F479" s="7">
        <v>46209</v>
      </c>
      <c r="G479" s="10">
        <v>12228.97</v>
      </c>
      <c r="H479" s="10">
        <v>1834.35</v>
      </c>
      <c r="I479" s="10">
        <v>14063.32</v>
      </c>
      <c r="J479" s="9" t="s">
        <v>2</v>
      </c>
      <c r="K479" s="7">
        <v>46207</v>
      </c>
      <c r="L479" s="9" t="s">
        <v>3</v>
      </c>
      <c r="M479" s="11" cm="1">
        <f t="array" ref="M479">IF(Invoices[[#This Row],[Status]]="Open",MAX(0,AsOf-Invoices[[#This Row],[Due Date]]),IF(Invoices[[#This Row],[Paid Date]]="","",MAX(0,Invoices[[#This Row],[Paid Date]]-Invoices[[#This Row],[Due Date]])))</f>
        <v>0</v>
      </c>
      <c r="N47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80" spans="1:14" ht="17.100000000000001" customHeight="1" x14ac:dyDescent="0.2">
      <c r="A480" s="6" t="s">
        <v>507</v>
      </c>
      <c r="B480" s="7">
        <v>46149</v>
      </c>
      <c r="C480" s="8" t="s">
        <v>5</v>
      </c>
      <c r="D480" s="8" t="s">
        <v>6</v>
      </c>
      <c r="E480" s="9">
        <v>45</v>
      </c>
      <c r="F480" s="7">
        <v>46194</v>
      </c>
      <c r="G480" s="10">
        <v>12226.97</v>
      </c>
      <c r="H480" s="10">
        <v>1834.05</v>
      </c>
      <c r="I480" s="10">
        <v>14061.02</v>
      </c>
      <c r="J480" s="9" t="s">
        <v>2</v>
      </c>
      <c r="K480" s="7">
        <v>46191</v>
      </c>
      <c r="L480" s="9" t="s">
        <v>3</v>
      </c>
      <c r="M480" s="11" cm="1">
        <f t="array" ref="M480">IF(Invoices[[#This Row],[Status]]="Open",MAX(0,AsOf-Invoices[[#This Row],[Due Date]]),IF(Invoices[[#This Row],[Paid Date]]="","",MAX(0,Invoices[[#This Row],[Paid Date]]-Invoices[[#This Row],[Due Date]])))</f>
        <v>0</v>
      </c>
      <c r="N48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81" spans="1:14" ht="17.100000000000001" customHeight="1" x14ac:dyDescent="0.2">
      <c r="A481" s="6" t="s">
        <v>508</v>
      </c>
      <c r="B481" s="7">
        <v>46149</v>
      </c>
      <c r="C481" s="8" t="s">
        <v>13</v>
      </c>
      <c r="D481" s="8" t="s">
        <v>1</v>
      </c>
      <c r="E481" s="9">
        <v>30</v>
      </c>
      <c r="F481" s="7">
        <v>46179</v>
      </c>
      <c r="G481" s="10">
        <v>3812.58</v>
      </c>
      <c r="H481" s="10">
        <v>571.89</v>
      </c>
      <c r="I481" s="10">
        <v>4384.47</v>
      </c>
      <c r="J481" s="9" t="s">
        <v>2</v>
      </c>
      <c r="K481" s="7">
        <v>46182</v>
      </c>
      <c r="L481" s="9" t="s">
        <v>3</v>
      </c>
      <c r="M481" s="11" cm="1">
        <f t="array" ref="M481">IF(Invoices[[#This Row],[Status]]="Open",MAX(0,AsOf-Invoices[[#This Row],[Due Date]]),IF(Invoices[[#This Row],[Paid Date]]="","",MAX(0,Invoices[[#This Row],[Paid Date]]-Invoices[[#This Row],[Due Date]])))</f>
        <v>3</v>
      </c>
      <c r="N48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82" spans="1:14" ht="17.100000000000001" customHeight="1" x14ac:dyDescent="0.2">
      <c r="A482" s="6" t="s">
        <v>509</v>
      </c>
      <c r="B482" s="7">
        <v>46149</v>
      </c>
      <c r="C482" s="8" t="s">
        <v>45</v>
      </c>
      <c r="D482" s="8" t="s">
        <v>17</v>
      </c>
      <c r="E482" s="9">
        <v>30</v>
      </c>
      <c r="F482" s="7">
        <v>46179</v>
      </c>
      <c r="G482" s="10">
        <v>2433.37</v>
      </c>
      <c r="H482" s="10">
        <v>365.01</v>
      </c>
      <c r="I482" s="10">
        <v>2798.38</v>
      </c>
      <c r="J482" s="9" t="s">
        <v>2</v>
      </c>
      <c r="K482" s="7">
        <v>46189</v>
      </c>
      <c r="L482" s="9" t="s">
        <v>3</v>
      </c>
      <c r="M482" s="11" cm="1">
        <f t="array" ref="M482">IF(Invoices[[#This Row],[Status]]="Open",MAX(0,AsOf-Invoices[[#This Row],[Due Date]]),IF(Invoices[[#This Row],[Paid Date]]="","",MAX(0,Invoices[[#This Row],[Paid Date]]-Invoices[[#This Row],[Due Date]])))</f>
        <v>10</v>
      </c>
      <c r="N48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83" spans="1:14" ht="17.100000000000001" customHeight="1" x14ac:dyDescent="0.2">
      <c r="A483" s="6" t="s">
        <v>510</v>
      </c>
      <c r="B483" s="7">
        <v>46149</v>
      </c>
      <c r="C483" s="8" t="s">
        <v>10</v>
      </c>
      <c r="D483" s="8" t="s">
        <v>11</v>
      </c>
      <c r="E483" s="9">
        <v>30</v>
      </c>
      <c r="F483" s="7">
        <v>46179</v>
      </c>
      <c r="G483" s="10">
        <v>6549.06</v>
      </c>
      <c r="H483" s="10">
        <v>982.36</v>
      </c>
      <c r="I483" s="10">
        <v>7531.42</v>
      </c>
      <c r="J483" s="9" t="s">
        <v>2</v>
      </c>
      <c r="K483" s="7">
        <v>46185</v>
      </c>
      <c r="L483" s="9" t="s">
        <v>3</v>
      </c>
      <c r="M483" s="11" cm="1">
        <f t="array" ref="M483">IF(Invoices[[#This Row],[Status]]="Open",MAX(0,AsOf-Invoices[[#This Row],[Due Date]]),IF(Invoices[[#This Row],[Paid Date]]="","",MAX(0,Invoices[[#This Row],[Paid Date]]-Invoices[[#This Row],[Due Date]])))</f>
        <v>6</v>
      </c>
      <c r="N48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84" spans="1:14" ht="17.100000000000001" customHeight="1" x14ac:dyDescent="0.2">
      <c r="A484" s="6" t="s">
        <v>511</v>
      </c>
      <c r="B484" s="7">
        <v>46151</v>
      </c>
      <c r="C484" s="8" t="s">
        <v>31</v>
      </c>
      <c r="D484" s="8" t="s">
        <v>6</v>
      </c>
      <c r="E484" s="9">
        <v>60</v>
      </c>
      <c r="F484" s="7">
        <v>46151</v>
      </c>
      <c r="G484" s="10">
        <v>-2066.27</v>
      </c>
      <c r="H484" s="10">
        <v>-309.94</v>
      </c>
      <c r="I484" s="10">
        <v>-2376.21</v>
      </c>
      <c r="J484" s="9" t="s">
        <v>111</v>
      </c>
      <c r="K484" s="7"/>
      <c r="L484" s="9" t="s">
        <v>112</v>
      </c>
      <c r="M484" s="11" t="str" cm="1">
        <f t="array" ref="M484">IF(Invoices[[#This Row],[Status]]="Open",MAX(0,AsOf-Invoices[[#This Row],[Due Date]]),IF(Invoices[[#This Row],[Paid Date]]="","",MAX(0,Invoices[[#This Row],[Paid Date]]-Invoices[[#This Row],[Due Date]])))</f>
        <v/>
      </c>
      <c r="N48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85" spans="1:14" ht="17.100000000000001" customHeight="1" x14ac:dyDescent="0.2">
      <c r="A485" s="6" t="s">
        <v>512</v>
      </c>
      <c r="B485" s="7">
        <v>46152</v>
      </c>
      <c r="C485" s="8" t="s">
        <v>13</v>
      </c>
      <c r="D485" s="8" t="s">
        <v>1</v>
      </c>
      <c r="E485" s="9">
        <v>30</v>
      </c>
      <c r="F485" s="7">
        <v>46182</v>
      </c>
      <c r="G485" s="10">
        <v>2520.9</v>
      </c>
      <c r="H485" s="10">
        <v>378.13</v>
      </c>
      <c r="I485" s="10">
        <v>2899.03</v>
      </c>
      <c r="J485" s="9" t="s">
        <v>2</v>
      </c>
      <c r="K485" s="7">
        <v>46179</v>
      </c>
      <c r="L485" s="9" t="s">
        <v>3</v>
      </c>
      <c r="M485" s="11" cm="1">
        <f t="array" ref="M485">IF(Invoices[[#This Row],[Status]]="Open",MAX(0,AsOf-Invoices[[#This Row],[Due Date]]),IF(Invoices[[#This Row],[Paid Date]]="","",MAX(0,Invoices[[#This Row],[Paid Date]]-Invoices[[#This Row],[Due Date]])))</f>
        <v>0</v>
      </c>
      <c r="N48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86" spans="1:14" ht="17.100000000000001" customHeight="1" x14ac:dyDescent="0.2">
      <c r="A486" s="6" t="s">
        <v>513</v>
      </c>
      <c r="B486" s="7">
        <v>46153</v>
      </c>
      <c r="C486" s="8" t="s">
        <v>5</v>
      </c>
      <c r="D486" s="8" t="s">
        <v>6</v>
      </c>
      <c r="E486" s="9">
        <v>45</v>
      </c>
      <c r="F486" s="7">
        <v>46198</v>
      </c>
      <c r="G486" s="10">
        <v>9465.43</v>
      </c>
      <c r="H486" s="10">
        <v>1419.81</v>
      </c>
      <c r="I486" s="10">
        <v>10885.24</v>
      </c>
      <c r="J486" s="9" t="s">
        <v>2</v>
      </c>
      <c r="K486" s="7">
        <v>46196</v>
      </c>
      <c r="L486" s="9" t="s">
        <v>3</v>
      </c>
      <c r="M486" s="11" cm="1">
        <f t="array" ref="M486">IF(Invoices[[#This Row],[Status]]="Open",MAX(0,AsOf-Invoices[[#This Row],[Due Date]]),IF(Invoices[[#This Row],[Paid Date]]="","",MAX(0,Invoices[[#This Row],[Paid Date]]-Invoices[[#This Row],[Due Date]])))</f>
        <v>0</v>
      </c>
      <c r="N48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87" spans="1:14" ht="17.100000000000001" customHeight="1" x14ac:dyDescent="0.2">
      <c r="A487" s="6" t="s">
        <v>514</v>
      </c>
      <c r="B487" s="7">
        <v>46153</v>
      </c>
      <c r="C487" s="8" t="s">
        <v>24</v>
      </c>
      <c r="D487" s="8" t="s">
        <v>25</v>
      </c>
      <c r="E487" s="9">
        <v>60</v>
      </c>
      <c r="F487" s="7">
        <v>46213</v>
      </c>
      <c r="G487" s="10">
        <v>3420.21</v>
      </c>
      <c r="H487" s="10">
        <v>513.03</v>
      </c>
      <c r="I487" s="10">
        <v>3933.24</v>
      </c>
      <c r="J487" s="9" t="s">
        <v>2</v>
      </c>
      <c r="K487" s="7">
        <v>46208</v>
      </c>
      <c r="L487" s="9" t="s">
        <v>3</v>
      </c>
      <c r="M487" s="11" cm="1">
        <f t="array" ref="M487">IF(Invoices[[#This Row],[Status]]="Open",MAX(0,AsOf-Invoices[[#This Row],[Due Date]]),IF(Invoices[[#This Row],[Paid Date]]="","",MAX(0,Invoices[[#This Row],[Paid Date]]-Invoices[[#This Row],[Due Date]])))</f>
        <v>0</v>
      </c>
      <c r="N48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88" spans="1:14" ht="17.100000000000001" customHeight="1" x14ac:dyDescent="0.2">
      <c r="A488" s="6" t="s">
        <v>515</v>
      </c>
      <c r="B488" s="7">
        <v>46154</v>
      </c>
      <c r="C488" s="8" t="s">
        <v>34</v>
      </c>
      <c r="D488" s="8" t="s">
        <v>21</v>
      </c>
      <c r="E488" s="9">
        <v>30</v>
      </c>
      <c r="F488" s="7">
        <v>46184</v>
      </c>
      <c r="G488" s="10">
        <v>2966.25</v>
      </c>
      <c r="H488" s="10">
        <v>444.94</v>
      </c>
      <c r="I488" s="10">
        <v>3411.19</v>
      </c>
      <c r="J488" s="9" t="s">
        <v>2</v>
      </c>
      <c r="K488" s="7">
        <v>46179</v>
      </c>
      <c r="L488" s="9" t="s">
        <v>3</v>
      </c>
      <c r="M488" s="11" cm="1">
        <f t="array" ref="M488">IF(Invoices[[#This Row],[Status]]="Open",MAX(0,AsOf-Invoices[[#This Row],[Due Date]]),IF(Invoices[[#This Row],[Paid Date]]="","",MAX(0,Invoices[[#This Row],[Paid Date]]-Invoices[[#This Row],[Due Date]])))</f>
        <v>0</v>
      </c>
      <c r="N48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89" spans="1:14" ht="17.100000000000001" customHeight="1" x14ac:dyDescent="0.2">
      <c r="A489" s="6" t="s">
        <v>516</v>
      </c>
      <c r="B489" s="7">
        <v>46154</v>
      </c>
      <c r="C489" s="8" t="s">
        <v>31</v>
      </c>
      <c r="D489" s="8" t="s">
        <v>6</v>
      </c>
      <c r="E489" s="9">
        <v>60</v>
      </c>
      <c r="F489" s="7">
        <v>46214</v>
      </c>
      <c r="G489" s="10">
        <v>8341.48</v>
      </c>
      <c r="H489" s="10">
        <v>1251.22</v>
      </c>
      <c r="I489" s="10">
        <v>9592.7000000000007</v>
      </c>
      <c r="J489" s="9" t="s">
        <v>2</v>
      </c>
      <c r="K489" s="7">
        <v>46210</v>
      </c>
      <c r="L489" s="9" t="s">
        <v>3</v>
      </c>
      <c r="M489" s="11" cm="1">
        <f t="array" ref="M489">IF(Invoices[[#This Row],[Status]]="Open",MAX(0,AsOf-Invoices[[#This Row],[Due Date]]),IF(Invoices[[#This Row],[Paid Date]]="","",MAX(0,Invoices[[#This Row],[Paid Date]]-Invoices[[#This Row],[Due Date]])))</f>
        <v>0</v>
      </c>
      <c r="N48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90" spans="1:14" ht="17.100000000000001" customHeight="1" x14ac:dyDescent="0.2">
      <c r="A490" s="6" t="s">
        <v>517</v>
      </c>
      <c r="B490" s="7">
        <v>46154</v>
      </c>
      <c r="C490" s="8" t="s">
        <v>34</v>
      </c>
      <c r="D490" s="8" t="s">
        <v>21</v>
      </c>
      <c r="E490" s="9">
        <v>30</v>
      </c>
      <c r="F490" s="7">
        <v>46184</v>
      </c>
      <c r="G490" s="10">
        <v>3025.09</v>
      </c>
      <c r="H490" s="10">
        <v>453.76</v>
      </c>
      <c r="I490" s="10">
        <v>3478.85</v>
      </c>
      <c r="J490" s="9" t="s">
        <v>2</v>
      </c>
      <c r="K490" s="7">
        <v>46179</v>
      </c>
      <c r="L490" s="9" t="s">
        <v>3</v>
      </c>
      <c r="M490" s="11" cm="1">
        <f t="array" ref="M490">IF(Invoices[[#This Row],[Status]]="Open",MAX(0,AsOf-Invoices[[#This Row],[Due Date]]),IF(Invoices[[#This Row],[Paid Date]]="","",MAX(0,Invoices[[#This Row],[Paid Date]]-Invoices[[#This Row],[Due Date]])))</f>
        <v>0</v>
      </c>
      <c r="N49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91" spans="1:14" ht="17.100000000000001" customHeight="1" x14ac:dyDescent="0.2">
      <c r="A491" s="6" t="s">
        <v>518</v>
      </c>
      <c r="B491" s="7">
        <v>46154</v>
      </c>
      <c r="C491" s="8" t="s">
        <v>56</v>
      </c>
      <c r="D491" s="8" t="s">
        <v>17</v>
      </c>
      <c r="E491" s="9">
        <v>30</v>
      </c>
      <c r="F491" s="7">
        <v>46184</v>
      </c>
      <c r="G491" s="10">
        <v>3288.83</v>
      </c>
      <c r="H491" s="10">
        <v>493.32</v>
      </c>
      <c r="I491" s="10">
        <v>3782.15</v>
      </c>
      <c r="J491" s="9" t="s">
        <v>2</v>
      </c>
      <c r="K491" s="7">
        <v>46243</v>
      </c>
      <c r="L491" s="9" t="s">
        <v>3</v>
      </c>
      <c r="M491" s="11" cm="1">
        <f t="array" ref="M491">IF(Invoices[[#This Row],[Status]]="Open",MAX(0,AsOf-Invoices[[#This Row],[Due Date]]),IF(Invoices[[#This Row],[Paid Date]]="","",MAX(0,Invoices[[#This Row],[Paid Date]]-Invoices[[#This Row],[Due Date]])))</f>
        <v>59</v>
      </c>
      <c r="N49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92" spans="1:14" ht="17.100000000000001" customHeight="1" x14ac:dyDescent="0.2">
      <c r="A492" s="6" t="s">
        <v>519</v>
      </c>
      <c r="B492" s="7">
        <v>46154</v>
      </c>
      <c r="C492" s="8" t="s">
        <v>56</v>
      </c>
      <c r="D492" s="8" t="s">
        <v>17</v>
      </c>
      <c r="E492" s="9">
        <v>30</v>
      </c>
      <c r="F492" s="7">
        <v>46184</v>
      </c>
      <c r="G492" s="10">
        <v>3673.09</v>
      </c>
      <c r="H492" s="10">
        <v>550.96</v>
      </c>
      <c r="I492" s="10">
        <v>4224.05</v>
      </c>
      <c r="J492" s="9" t="s">
        <v>2</v>
      </c>
      <c r="K492" s="7">
        <v>46190</v>
      </c>
      <c r="L492" s="9" t="s">
        <v>3</v>
      </c>
      <c r="M492" s="11" cm="1">
        <f t="array" ref="M492">IF(Invoices[[#This Row],[Status]]="Open",MAX(0,AsOf-Invoices[[#This Row],[Due Date]]),IF(Invoices[[#This Row],[Paid Date]]="","",MAX(0,Invoices[[#This Row],[Paid Date]]-Invoices[[#This Row],[Due Date]])))</f>
        <v>6</v>
      </c>
      <c r="N49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93" spans="1:14" ht="17.100000000000001" customHeight="1" x14ac:dyDescent="0.2">
      <c r="A493" s="6" t="s">
        <v>520</v>
      </c>
      <c r="B493" s="7">
        <v>46155</v>
      </c>
      <c r="C493" s="8" t="s">
        <v>10</v>
      </c>
      <c r="D493" s="8" t="s">
        <v>11</v>
      </c>
      <c r="E493" s="9">
        <v>30</v>
      </c>
      <c r="F493" s="7">
        <v>46185</v>
      </c>
      <c r="G493" s="10">
        <v>3339.49</v>
      </c>
      <c r="H493" s="10">
        <v>500.92</v>
      </c>
      <c r="I493" s="10">
        <v>3840.41</v>
      </c>
      <c r="J493" s="9" t="s">
        <v>2</v>
      </c>
      <c r="K493" s="7">
        <v>46185</v>
      </c>
      <c r="L493" s="9" t="s">
        <v>3</v>
      </c>
      <c r="M493" s="11" cm="1">
        <f t="array" ref="M493">IF(Invoices[[#This Row],[Status]]="Open",MAX(0,AsOf-Invoices[[#This Row],[Due Date]]),IF(Invoices[[#This Row],[Paid Date]]="","",MAX(0,Invoices[[#This Row],[Paid Date]]-Invoices[[#This Row],[Due Date]])))</f>
        <v>0</v>
      </c>
      <c r="N49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94" spans="1:14" ht="17.100000000000001" customHeight="1" x14ac:dyDescent="0.2">
      <c r="A494" s="6" t="s">
        <v>521</v>
      </c>
      <c r="B494" s="7">
        <v>46155</v>
      </c>
      <c r="C494" s="8" t="s">
        <v>69</v>
      </c>
      <c r="D494" s="8" t="s">
        <v>6</v>
      </c>
      <c r="E494" s="9">
        <v>45</v>
      </c>
      <c r="F494" s="7">
        <v>46200</v>
      </c>
      <c r="G494" s="10">
        <v>20683.28</v>
      </c>
      <c r="H494" s="10">
        <v>3102.49</v>
      </c>
      <c r="I494" s="10">
        <v>23785.77</v>
      </c>
      <c r="J494" s="9" t="s">
        <v>2</v>
      </c>
      <c r="K494" s="7">
        <v>46202</v>
      </c>
      <c r="L494" s="9" t="s">
        <v>3</v>
      </c>
      <c r="M494" s="11" cm="1">
        <f t="array" ref="M494">IF(Invoices[[#This Row],[Status]]="Open",MAX(0,AsOf-Invoices[[#This Row],[Due Date]]),IF(Invoices[[#This Row],[Paid Date]]="","",MAX(0,Invoices[[#This Row],[Paid Date]]-Invoices[[#This Row],[Due Date]])))</f>
        <v>2</v>
      </c>
      <c r="N49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95" spans="1:14" ht="17.100000000000001" customHeight="1" x14ac:dyDescent="0.2">
      <c r="A495" s="6" t="s">
        <v>522</v>
      </c>
      <c r="B495" s="7">
        <v>46156</v>
      </c>
      <c r="C495" s="8" t="s">
        <v>24</v>
      </c>
      <c r="D495" s="8" t="s">
        <v>25</v>
      </c>
      <c r="E495" s="9">
        <v>60</v>
      </c>
      <c r="F495" s="7">
        <v>46216</v>
      </c>
      <c r="G495" s="10">
        <v>17616.330000000002</v>
      </c>
      <c r="H495" s="10">
        <v>2642.45</v>
      </c>
      <c r="I495" s="10">
        <v>20258.78</v>
      </c>
      <c r="J495" s="9" t="s">
        <v>2</v>
      </c>
      <c r="K495" s="7">
        <v>46215</v>
      </c>
      <c r="L495" s="9" t="s">
        <v>3</v>
      </c>
      <c r="M495" s="11" cm="1">
        <f t="array" ref="M495">IF(Invoices[[#This Row],[Status]]="Open",MAX(0,AsOf-Invoices[[#This Row],[Due Date]]),IF(Invoices[[#This Row],[Paid Date]]="","",MAX(0,Invoices[[#This Row],[Paid Date]]-Invoices[[#This Row],[Due Date]])))</f>
        <v>0</v>
      </c>
      <c r="N49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96" spans="1:14" ht="17.100000000000001" customHeight="1" x14ac:dyDescent="0.2">
      <c r="A496" s="6" t="s">
        <v>523</v>
      </c>
      <c r="B496" s="7">
        <v>46156</v>
      </c>
      <c r="C496" s="8" t="s">
        <v>31</v>
      </c>
      <c r="D496" s="8" t="s">
        <v>6</v>
      </c>
      <c r="E496" s="9">
        <v>60</v>
      </c>
      <c r="F496" s="7">
        <v>46216</v>
      </c>
      <c r="G496" s="10">
        <v>9064.5</v>
      </c>
      <c r="H496" s="10">
        <v>1359.67</v>
      </c>
      <c r="I496" s="10">
        <v>10424.17</v>
      </c>
      <c r="J496" s="9" t="s">
        <v>2</v>
      </c>
      <c r="K496" s="7">
        <v>46221</v>
      </c>
      <c r="L496" s="9" t="s">
        <v>3</v>
      </c>
      <c r="M496" s="11" cm="1">
        <f t="array" ref="M496">IF(Invoices[[#This Row],[Status]]="Open",MAX(0,AsOf-Invoices[[#This Row],[Due Date]]),IF(Invoices[[#This Row],[Paid Date]]="","",MAX(0,Invoices[[#This Row],[Paid Date]]-Invoices[[#This Row],[Due Date]])))</f>
        <v>5</v>
      </c>
      <c r="N49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97" spans="1:14" ht="17.100000000000001" customHeight="1" x14ac:dyDescent="0.2">
      <c r="A497" s="6" t="s">
        <v>524</v>
      </c>
      <c r="B497" s="7">
        <v>46159</v>
      </c>
      <c r="C497" s="8" t="s">
        <v>5</v>
      </c>
      <c r="D497" s="8" t="s">
        <v>6</v>
      </c>
      <c r="E497" s="9">
        <v>45</v>
      </c>
      <c r="F497" s="7">
        <v>46204</v>
      </c>
      <c r="G497" s="10">
        <v>5818.65</v>
      </c>
      <c r="H497" s="10">
        <v>872.8</v>
      </c>
      <c r="I497" s="10">
        <v>6691.45</v>
      </c>
      <c r="J497" s="9" t="s">
        <v>2</v>
      </c>
      <c r="K497" s="7">
        <v>46203</v>
      </c>
      <c r="L497" s="9" t="s">
        <v>3</v>
      </c>
      <c r="M497" s="11" cm="1">
        <f t="array" ref="M497">IF(Invoices[[#This Row],[Status]]="Open",MAX(0,AsOf-Invoices[[#This Row],[Due Date]]),IF(Invoices[[#This Row],[Paid Date]]="","",MAX(0,Invoices[[#This Row],[Paid Date]]-Invoices[[#This Row],[Due Date]])))</f>
        <v>0</v>
      </c>
      <c r="N49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98" spans="1:14" ht="17.100000000000001" customHeight="1" x14ac:dyDescent="0.2">
      <c r="A498" s="6" t="s">
        <v>525</v>
      </c>
      <c r="B498" s="7">
        <v>46159</v>
      </c>
      <c r="C498" s="8" t="s">
        <v>5</v>
      </c>
      <c r="D498" s="8" t="s">
        <v>6</v>
      </c>
      <c r="E498" s="9">
        <v>45</v>
      </c>
      <c r="F498" s="7">
        <v>46204</v>
      </c>
      <c r="G498" s="10">
        <v>13281.19</v>
      </c>
      <c r="H498" s="10">
        <v>1992.18</v>
      </c>
      <c r="I498" s="10">
        <v>15273.37</v>
      </c>
      <c r="J498" s="9" t="s">
        <v>2</v>
      </c>
      <c r="K498" s="7">
        <v>46204</v>
      </c>
      <c r="L498" s="9" t="s">
        <v>3</v>
      </c>
      <c r="M498" s="11" cm="1">
        <f t="array" ref="M498">IF(Invoices[[#This Row],[Status]]="Open",MAX(0,AsOf-Invoices[[#This Row],[Due Date]]),IF(Invoices[[#This Row],[Paid Date]]="","",MAX(0,Invoices[[#This Row],[Paid Date]]-Invoices[[#This Row],[Due Date]])))</f>
        <v>0</v>
      </c>
      <c r="N49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499" spans="1:14" ht="17.100000000000001" customHeight="1" x14ac:dyDescent="0.2">
      <c r="A499" s="6" t="s">
        <v>526</v>
      </c>
      <c r="B499" s="7">
        <v>46160</v>
      </c>
      <c r="C499" s="8" t="s">
        <v>5</v>
      </c>
      <c r="D499" s="8" t="s">
        <v>6</v>
      </c>
      <c r="E499" s="9">
        <v>45</v>
      </c>
      <c r="F499" s="7">
        <v>46205</v>
      </c>
      <c r="G499" s="10">
        <v>9960.68</v>
      </c>
      <c r="H499" s="10">
        <v>1494.1</v>
      </c>
      <c r="I499" s="10">
        <v>11454.78</v>
      </c>
      <c r="J499" s="9" t="s">
        <v>2</v>
      </c>
      <c r="K499" s="7">
        <v>46200</v>
      </c>
      <c r="L499" s="9" t="s">
        <v>3</v>
      </c>
      <c r="M499" s="11" cm="1">
        <f t="array" ref="M499">IF(Invoices[[#This Row],[Status]]="Open",MAX(0,AsOf-Invoices[[#This Row],[Due Date]]),IF(Invoices[[#This Row],[Paid Date]]="","",MAX(0,Invoices[[#This Row],[Paid Date]]-Invoices[[#This Row],[Due Date]])))</f>
        <v>0</v>
      </c>
      <c r="N49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00" spans="1:14" ht="17.100000000000001" customHeight="1" x14ac:dyDescent="0.2">
      <c r="A500" s="6" t="s">
        <v>527</v>
      </c>
      <c r="B500" s="7">
        <v>46161</v>
      </c>
      <c r="C500" s="8" t="s">
        <v>10</v>
      </c>
      <c r="D500" s="8" t="s">
        <v>11</v>
      </c>
      <c r="E500" s="9">
        <v>30</v>
      </c>
      <c r="F500" s="7">
        <v>46191</v>
      </c>
      <c r="G500" s="10">
        <v>3227.1</v>
      </c>
      <c r="H500" s="10">
        <v>484.06</v>
      </c>
      <c r="I500" s="10">
        <v>3711.16</v>
      </c>
      <c r="J500" s="9" t="s">
        <v>2</v>
      </c>
      <c r="K500" s="7">
        <v>46191</v>
      </c>
      <c r="L500" s="9" t="s">
        <v>3</v>
      </c>
      <c r="M500" s="11" cm="1">
        <f t="array" ref="M500">IF(Invoices[[#This Row],[Status]]="Open",MAX(0,AsOf-Invoices[[#This Row],[Due Date]]),IF(Invoices[[#This Row],[Paid Date]]="","",MAX(0,Invoices[[#This Row],[Paid Date]]-Invoices[[#This Row],[Due Date]])))</f>
        <v>0</v>
      </c>
      <c r="N50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01" spans="1:14" ht="17.100000000000001" customHeight="1" x14ac:dyDescent="0.2">
      <c r="A501" s="6" t="s">
        <v>528</v>
      </c>
      <c r="B501" s="7">
        <v>46161</v>
      </c>
      <c r="C501" s="8" t="s">
        <v>31</v>
      </c>
      <c r="D501" s="8" t="s">
        <v>6</v>
      </c>
      <c r="E501" s="9">
        <v>60</v>
      </c>
      <c r="F501" s="7">
        <v>46221</v>
      </c>
      <c r="G501" s="10">
        <v>6934.57</v>
      </c>
      <c r="H501" s="10">
        <v>1040.19</v>
      </c>
      <c r="I501" s="10">
        <v>7974.76</v>
      </c>
      <c r="J501" s="9" t="s">
        <v>2</v>
      </c>
      <c r="K501" s="7">
        <v>46222</v>
      </c>
      <c r="L501" s="9" t="s">
        <v>3</v>
      </c>
      <c r="M501" s="11" cm="1">
        <f t="array" ref="M501">IF(Invoices[[#This Row],[Status]]="Open",MAX(0,AsOf-Invoices[[#This Row],[Due Date]]),IF(Invoices[[#This Row],[Paid Date]]="","",MAX(0,Invoices[[#This Row],[Paid Date]]-Invoices[[#This Row],[Due Date]])))</f>
        <v>1</v>
      </c>
      <c r="N50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02" spans="1:14" ht="17.100000000000001" customHeight="1" x14ac:dyDescent="0.2">
      <c r="A502" s="6" t="s">
        <v>529</v>
      </c>
      <c r="B502" s="7">
        <v>46161</v>
      </c>
      <c r="C502" s="8" t="s">
        <v>34</v>
      </c>
      <c r="D502" s="8" t="s">
        <v>21</v>
      </c>
      <c r="E502" s="9">
        <v>30</v>
      </c>
      <c r="F502" s="7">
        <v>46191</v>
      </c>
      <c r="G502" s="10">
        <v>5466.22</v>
      </c>
      <c r="H502" s="10">
        <v>819.93</v>
      </c>
      <c r="I502" s="10">
        <v>6286.15</v>
      </c>
      <c r="J502" s="9" t="s">
        <v>2</v>
      </c>
      <c r="K502" s="7">
        <v>46186</v>
      </c>
      <c r="L502" s="9" t="s">
        <v>3</v>
      </c>
      <c r="M502" s="11" cm="1">
        <f t="array" ref="M502">IF(Invoices[[#This Row],[Status]]="Open",MAX(0,AsOf-Invoices[[#This Row],[Due Date]]),IF(Invoices[[#This Row],[Paid Date]]="","",MAX(0,Invoices[[#This Row],[Paid Date]]-Invoices[[#This Row],[Due Date]])))</f>
        <v>0</v>
      </c>
      <c r="N50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03" spans="1:14" ht="17.100000000000001" customHeight="1" x14ac:dyDescent="0.2">
      <c r="A503" s="6" t="s">
        <v>530</v>
      </c>
      <c r="B503" s="7">
        <v>46161</v>
      </c>
      <c r="C503" s="8" t="s">
        <v>31</v>
      </c>
      <c r="D503" s="8" t="s">
        <v>6</v>
      </c>
      <c r="E503" s="9">
        <v>60</v>
      </c>
      <c r="F503" s="7">
        <v>46221</v>
      </c>
      <c r="G503" s="10">
        <v>11624.77</v>
      </c>
      <c r="H503" s="10">
        <v>1743.72</v>
      </c>
      <c r="I503" s="10">
        <v>13368.49</v>
      </c>
      <c r="J503" s="9" t="s">
        <v>2</v>
      </c>
      <c r="K503" s="7">
        <v>46221</v>
      </c>
      <c r="L503" s="9" t="s">
        <v>3</v>
      </c>
      <c r="M503" s="11" cm="1">
        <f t="array" ref="M503">IF(Invoices[[#This Row],[Status]]="Open",MAX(0,AsOf-Invoices[[#This Row],[Due Date]]),IF(Invoices[[#This Row],[Paid Date]]="","",MAX(0,Invoices[[#This Row],[Paid Date]]-Invoices[[#This Row],[Due Date]])))</f>
        <v>0</v>
      </c>
      <c r="N50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04" spans="1:14" ht="17.100000000000001" customHeight="1" x14ac:dyDescent="0.2">
      <c r="A504" s="6" t="s">
        <v>531</v>
      </c>
      <c r="B504" s="7">
        <v>46161</v>
      </c>
      <c r="C504" s="8" t="s">
        <v>8</v>
      </c>
      <c r="D504" s="8" t="s">
        <v>6</v>
      </c>
      <c r="E504" s="9">
        <v>45</v>
      </c>
      <c r="F504" s="7">
        <v>46206</v>
      </c>
      <c r="G504" s="10">
        <v>11903.33</v>
      </c>
      <c r="H504" s="10">
        <v>1785.5</v>
      </c>
      <c r="I504" s="10">
        <v>13688.83</v>
      </c>
      <c r="J504" s="9" t="s">
        <v>2</v>
      </c>
      <c r="K504" s="7">
        <v>46206</v>
      </c>
      <c r="L504" s="9" t="s">
        <v>3</v>
      </c>
      <c r="M504" s="11" cm="1">
        <f t="array" ref="M504">IF(Invoices[[#This Row],[Status]]="Open",MAX(0,AsOf-Invoices[[#This Row],[Due Date]]),IF(Invoices[[#This Row],[Paid Date]]="","",MAX(0,Invoices[[#This Row],[Paid Date]]-Invoices[[#This Row],[Due Date]])))</f>
        <v>0</v>
      </c>
      <c r="N50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05" spans="1:14" ht="17.100000000000001" customHeight="1" x14ac:dyDescent="0.2">
      <c r="A505" s="6" t="s">
        <v>532</v>
      </c>
      <c r="B505" s="7">
        <v>46162</v>
      </c>
      <c r="C505" s="8" t="s">
        <v>8</v>
      </c>
      <c r="D505" s="8" t="s">
        <v>6</v>
      </c>
      <c r="E505" s="9">
        <v>45</v>
      </c>
      <c r="F505" s="7">
        <v>46207</v>
      </c>
      <c r="G505" s="10">
        <v>9177.26</v>
      </c>
      <c r="H505" s="10">
        <v>1376.59</v>
      </c>
      <c r="I505" s="10">
        <v>10553.85</v>
      </c>
      <c r="J505" s="9" t="s">
        <v>2</v>
      </c>
      <c r="K505" s="7">
        <v>46213</v>
      </c>
      <c r="L505" s="9" t="s">
        <v>3</v>
      </c>
      <c r="M505" s="11" cm="1">
        <f t="array" ref="M505">IF(Invoices[[#This Row],[Status]]="Open",MAX(0,AsOf-Invoices[[#This Row],[Due Date]]),IF(Invoices[[#This Row],[Paid Date]]="","",MAX(0,Invoices[[#This Row],[Paid Date]]-Invoices[[#This Row],[Due Date]])))</f>
        <v>6</v>
      </c>
      <c r="N50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06" spans="1:14" ht="17.100000000000001" customHeight="1" x14ac:dyDescent="0.2">
      <c r="A506" s="6" t="s">
        <v>533</v>
      </c>
      <c r="B506" s="7">
        <v>46162</v>
      </c>
      <c r="C506" s="8" t="s">
        <v>10</v>
      </c>
      <c r="D506" s="8" t="s">
        <v>11</v>
      </c>
      <c r="E506" s="9">
        <v>30</v>
      </c>
      <c r="F506" s="7">
        <v>46192</v>
      </c>
      <c r="G506" s="10">
        <v>6669.41</v>
      </c>
      <c r="H506" s="10">
        <v>1000.41</v>
      </c>
      <c r="I506" s="10">
        <v>7669.82</v>
      </c>
      <c r="J506" s="9" t="s">
        <v>2</v>
      </c>
      <c r="K506" s="7">
        <v>46192</v>
      </c>
      <c r="L506" s="9" t="s">
        <v>3</v>
      </c>
      <c r="M506" s="11" cm="1">
        <f t="array" ref="M506">IF(Invoices[[#This Row],[Status]]="Open",MAX(0,AsOf-Invoices[[#This Row],[Due Date]]),IF(Invoices[[#This Row],[Paid Date]]="","",MAX(0,Invoices[[#This Row],[Paid Date]]-Invoices[[#This Row],[Due Date]])))</f>
        <v>0</v>
      </c>
      <c r="N50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07" spans="1:14" ht="17.100000000000001" customHeight="1" x14ac:dyDescent="0.2">
      <c r="A507" s="6" t="s">
        <v>534</v>
      </c>
      <c r="B507" s="7">
        <v>46162</v>
      </c>
      <c r="C507" s="8" t="s">
        <v>34</v>
      </c>
      <c r="D507" s="8" t="s">
        <v>21</v>
      </c>
      <c r="E507" s="9">
        <v>30</v>
      </c>
      <c r="F507" s="7">
        <v>46192</v>
      </c>
      <c r="G507" s="10">
        <v>4002.71</v>
      </c>
      <c r="H507" s="10">
        <v>600.41</v>
      </c>
      <c r="I507" s="10">
        <v>4603.12</v>
      </c>
      <c r="J507" s="9" t="s">
        <v>2</v>
      </c>
      <c r="K507" s="7">
        <v>46198</v>
      </c>
      <c r="L507" s="9" t="s">
        <v>3</v>
      </c>
      <c r="M507" s="11" cm="1">
        <f t="array" ref="M507">IF(Invoices[[#This Row],[Status]]="Open",MAX(0,AsOf-Invoices[[#This Row],[Due Date]]),IF(Invoices[[#This Row],[Paid Date]]="","",MAX(0,Invoices[[#This Row],[Paid Date]]-Invoices[[#This Row],[Due Date]])))</f>
        <v>6</v>
      </c>
      <c r="N50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08" spans="1:14" ht="17.100000000000001" customHeight="1" x14ac:dyDescent="0.2">
      <c r="A508" s="6" t="s">
        <v>535</v>
      </c>
      <c r="B508" s="7">
        <v>46162</v>
      </c>
      <c r="C508" s="8" t="s">
        <v>31</v>
      </c>
      <c r="D508" s="8" t="s">
        <v>6</v>
      </c>
      <c r="E508" s="9">
        <v>60</v>
      </c>
      <c r="F508" s="7">
        <v>46222</v>
      </c>
      <c r="G508" s="10">
        <v>12412.77</v>
      </c>
      <c r="H508" s="10">
        <v>1861.92</v>
      </c>
      <c r="I508" s="10">
        <v>14274.69</v>
      </c>
      <c r="J508" s="9" t="s">
        <v>2</v>
      </c>
      <c r="K508" s="7">
        <v>46229</v>
      </c>
      <c r="L508" s="9" t="s">
        <v>3</v>
      </c>
      <c r="M508" s="11" cm="1">
        <f t="array" ref="M508">IF(Invoices[[#This Row],[Status]]="Open",MAX(0,AsOf-Invoices[[#This Row],[Due Date]]),IF(Invoices[[#This Row],[Paid Date]]="","",MAX(0,Invoices[[#This Row],[Paid Date]]-Invoices[[#This Row],[Due Date]])))</f>
        <v>7</v>
      </c>
      <c r="N50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09" spans="1:14" ht="17.100000000000001" customHeight="1" x14ac:dyDescent="0.2">
      <c r="A509" s="6" t="s">
        <v>536</v>
      </c>
      <c r="B509" s="7">
        <v>46163</v>
      </c>
      <c r="C509" s="8" t="s">
        <v>13</v>
      </c>
      <c r="D509" s="8" t="s">
        <v>1</v>
      </c>
      <c r="E509" s="9">
        <v>30</v>
      </c>
      <c r="F509" s="7">
        <v>46193</v>
      </c>
      <c r="G509" s="10">
        <v>2381.37</v>
      </c>
      <c r="H509" s="10">
        <v>357.21</v>
      </c>
      <c r="I509" s="10">
        <v>2738.58</v>
      </c>
      <c r="J509" s="9" t="s">
        <v>2</v>
      </c>
      <c r="K509" s="7">
        <v>46188</v>
      </c>
      <c r="L509" s="9" t="s">
        <v>3</v>
      </c>
      <c r="M509" s="11" cm="1">
        <f t="array" ref="M509">IF(Invoices[[#This Row],[Status]]="Open",MAX(0,AsOf-Invoices[[#This Row],[Due Date]]),IF(Invoices[[#This Row],[Paid Date]]="","",MAX(0,Invoices[[#This Row],[Paid Date]]-Invoices[[#This Row],[Due Date]])))</f>
        <v>0</v>
      </c>
      <c r="N50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10" spans="1:14" ht="17.100000000000001" customHeight="1" x14ac:dyDescent="0.2">
      <c r="A510" s="6" t="s">
        <v>537</v>
      </c>
      <c r="B510" s="7">
        <v>46163</v>
      </c>
      <c r="C510" s="8" t="s">
        <v>66</v>
      </c>
      <c r="D510" s="8" t="s">
        <v>62</v>
      </c>
      <c r="E510" s="9">
        <v>15</v>
      </c>
      <c r="F510" s="7">
        <v>46178</v>
      </c>
      <c r="G510" s="10">
        <v>1983.42</v>
      </c>
      <c r="H510" s="10">
        <v>297.51</v>
      </c>
      <c r="I510" s="10">
        <v>2280.9299999999998</v>
      </c>
      <c r="J510" s="9" t="s">
        <v>2</v>
      </c>
      <c r="K510" s="7">
        <v>46180</v>
      </c>
      <c r="L510" s="9" t="s">
        <v>3</v>
      </c>
      <c r="M510" s="11" cm="1">
        <f t="array" ref="M510">IF(Invoices[[#This Row],[Status]]="Open",MAX(0,AsOf-Invoices[[#This Row],[Due Date]]),IF(Invoices[[#This Row],[Paid Date]]="","",MAX(0,Invoices[[#This Row],[Paid Date]]-Invoices[[#This Row],[Due Date]])))</f>
        <v>2</v>
      </c>
      <c r="N51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11" spans="1:14" ht="17.100000000000001" customHeight="1" x14ac:dyDescent="0.2">
      <c r="A511" s="6" t="s">
        <v>538</v>
      </c>
      <c r="B511" s="7">
        <v>46163</v>
      </c>
      <c r="C511" s="8" t="s">
        <v>8</v>
      </c>
      <c r="D511" s="8" t="s">
        <v>6</v>
      </c>
      <c r="E511" s="9">
        <v>45</v>
      </c>
      <c r="F511" s="7">
        <v>46208</v>
      </c>
      <c r="G511" s="10">
        <v>3102.46</v>
      </c>
      <c r="H511" s="10">
        <v>465.37</v>
      </c>
      <c r="I511" s="10">
        <v>3567.83</v>
      </c>
      <c r="J511" s="9" t="s">
        <v>2</v>
      </c>
      <c r="K511" s="7">
        <v>46214</v>
      </c>
      <c r="L511" s="9" t="s">
        <v>3</v>
      </c>
      <c r="M511" s="11" cm="1">
        <f t="array" ref="M511">IF(Invoices[[#This Row],[Status]]="Open",MAX(0,AsOf-Invoices[[#This Row],[Due Date]]),IF(Invoices[[#This Row],[Paid Date]]="","",MAX(0,Invoices[[#This Row],[Paid Date]]-Invoices[[#This Row],[Due Date]])))</f>
        <v>6</v>
      </c>
      <c r="N51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12" spans="1:14" ht="17.100000000000001" customHeight="1" x14ac:dyDescent="0.2">
      <c r="A512" s="6" t="s">
        <v>539</v>
      </c>
      <c r="B512" s="7">
        <v>46166</v>
      </c>
      <c r="C512" s="8" t="s">
        <v>5</v>
      </c>
      <c r="D512" s="8" t="s">
        <v>6</v>
      </c>
      <c r="E512" s="9">
        <v>45</v>
      </c>
      <c r="F512" s="7">
        <v>46211</v>
      </c>
      <c r="G512" s="10">
        <v>10473.83</v>
      </c>
      <c r="H512" s="10">
        <v>1571.07</v>
      </c>
      <c r="I512" s="10">
        <v>12044.9</v>
      </c>
      <c r="J512" s="9" t="s">
        <v>2</v>
      </c>
      <c r="K512" s="7">
        <v>46211</v>
      </c>
      <c r="L512" s="9" t="s">
        <v>3</v>
      </c>
      <c r="M512" s="11" cm="1">
        <f t="array" ref="M512">IF(Invoices[[#This Row],[Status]]="Open",MAX(0,AsOf-Invoices[[#This Row],[Due Date]]),IF(Invoices[[#This Row],[Paid Date]]="","",MAX(0,Invoices[[#This Row],[Paid Date]]-Invoices[[#This Row],[Due Date]])))</f>
        <v>0</v>
      </c>
      <c r="N51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13" spans="1:14" ht="17.100000000000001" customHeight="1" x14ac:dyDescent="0.2">
      <c r="A513" s="6" t="s">
        <v>540</v>
      </c>
      <c r="B513" s="7">
        <v>46166</v>
      </c>
      <c r="C513" s="8" t="s">
        <v>20</v>
      </c>
      <c r="D513" s="8" t="s">
        <v>21</v>
      </c>
      <c r="E513" s="9">
        <v>30</v>
      </c>
      <c r="F513" s="7">
        <v>46196</v>
      </c>
      <c r="G513" s="10">
        <v>5662.94</v>
      </c>
      <c r="H513" s="10">
        <v>849.44</v>
      </c>
      <c r="I513" s="10">
        <v>6512.38</v>
      </c>
      <c r="J513" s="9" t="s">
        <v>2</v>
      </c>
      <c r="K513" s="7">
        <v>46200</v>
      </c>
      <c r="L513" s="9" t="s">
        <v>3</v>
      </c>
      <c r="M513" s="11" cm="1">
        <f t="array" ref="M513">IF(Invoices[[#This Row],[Status]]="Open",MAX(0,AsOf-Invoices[[#This Row],[Due Date]]),IF(Invoices[[#This Row],[Paid Date]]="","",MAX(0,Invoices[[#This Row],[Paid Date]]-Invoices[[#This Row],[Due Date]])))</f>
        <v>4</v>
      </c>
      <c r="N51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14" spans="1:14" ht="17.100000000000001" customHeight="1" x14ac:dyDescent="0.2">
      <c r="A514" s="6" t="s">
        <v>541</v>
      </c>
      <c r="B514" s="7">
        <v>46167</v>
      </c>
      <c r="C514" s="8" t="s">
        <v>31</v>
      </c>
      <c r="D514" s="8" t="s">
        <v>6</v>
      </c>
      <c r="E514" s="9">
        <v>60</v>
      </c>
      <c r="F514" s="7">
        <v>46167</v>
      </c>
      <c r="G514" s="10">
        <v>-1668.3</v>
      </c>
      <c r="H514" s="10">
        <v>-250.24</v>
      </c>
      <c r="I514" s="10">
        <v>-1918.54</v>
      </c>
      <c r="J514" s="9" t="s">
        <v>111</v>
      </c>
      <c r="K514" s="7"/>
      <c r="L514" s="9" t="s">
        <v>112</v>
      </c>
      <c r="M514" s="11" t="str" cm="1">
        <f t="array" ref="M514">IF(Invoices[[#This Row],[Status]]="Open",MAX(0,AsOf-Invoices[[#This Row],[Due Date]]),IF(Invoices[[#This Row],[Paid Date]]="","",MAX(0,Invoices[[#This Row],[Paid Date]]-Invoices[[#This Row],[Due Date]])))</f>
        <v/>
      </c>
      <c r="N51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15" spans="1:14" ht="17.100000000000001" customHeight="1" x14ac:dyDescent="0.2">
      <c r="A515" s="6" t="s">
        <v>542</v>
      </c>
      <c r="B515" s="7">
        <v>46168</v>
      </c>
      <c r="C515" s="8" t="s">
        <v>31</v>
      </c>
      <c r="D515" s="8" t="s">
        <v>6</v>
      </c>
      <c r="E515" s="9">
        <v>60</v>
      </c>
      <c r="F515" s="7">
        <v>46228</v>
      </c>
      <c r="G515" s="10">
        <v>10375.91</v>
      </c>
      <c r="H515" s="10">
        <v>1556.39</v>
      </c>
      <c r="I515" s="10">
        <v>11932.3</v>
      </c>
      <c r="J515" s="9" t="s">
        <v>2</v>
      </c>
      <c r="K515" s="7">
        <v>46228</v>
      </c>
      <c r="L515" s="9" t="s">
        <v>3</v>
      </c>
      <c r="M515" s="11" cm="1">
        <f t="array" ref="M515">IF(Invoices[[#This Row],[Status]]="Open",MAX(0,AsOf-Invoices[[#This Row],[Due Date]]),IF(Invoices[[#This Row],[Paid Date]]="","",MAX(0,Invoices[[#This Row],[Paid Date]]-Invoices[[#This Row],[Due Date]])))</f>
        <v>0</v>
      </c>
      <c r="N51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16" spans="1:14" ht="17.100000000000001" customHeight="1" x14ac:dyDescent="0.2">
      <c r="A516" s="6" t="s">
        <v>543</v>
      </c>
      <c r="B516" s="7">
        <v>46168</v>
      </c>
      <c r="C516" s="8" t="s">
        <v>75</v>
      </c>
      <c r="D516" s="8" t="s">
        <v>21</v>
      </c>
      <c r="E516" s="9">
        <v>30</v>
      </c>
      <c r="F516" s="7">
        <v>46198</v>
      </c>
      <c r="G516" s="10">
        <v>3103.81</v>
      </c>
      <c r="H516" s="10">
        <v>465.57</v>
      </c>
      <c r="I516" s="10">
        <v>3569.38</v>
      </c>
      <c r="J516" s="9" t="s">
        <v>2</v>
      </c>
      <c r="K516" s="7">
        <v>46201</v>
      </c>
      <c r="L516" s="9" t="s">
        <v>3</v>
      </c>
      <c r="M516" s="11" cm="1">
        <f t="array" ref="M516">IF(Invoices[[#This Row],[Status]]="Open",MAX(0,AsOf-Invoices[[#This Row],[Due Date]]),IF(Invoices[[#This Row],[Paid Date]]="","",MAX(0,Invoices[[#This Row],[Paid Date]]-Invoices[[#This Row],[Due Date]])))</f>
        <v>3</v>
      </c>
      <c r="N51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17" spans="1:14" ht="17.100000000000001" customHeight="1" x14ac:dyDescent="0.2">
      <c r="A517" s="6" t="s">
        <v>544</v>
      </c>
      <c r="B517" s="7">
        <v>46168</v>
      </c>
      <c r="C517" s="8" t="s">
        <v>31</v>
      </c>
      <c r="D517" s="8" t="s">
        <v>6</v>
      </c>
      <c r="E517" s="9">
        <v>60</v>
      </c>
      <c r="F517" s="7">
        <v>46228</v>
      </c>
      <c r="G517" s="10">
        <v>15463.5</v>
      </c>
      <c r="H517" s="10">
        <v>2319.5300000000002</v>
      </c>
      <c r="I517" s="10">
        <v>17783.03</v>
      </c>
      <c r="J517" s="9" t="s">
        <v>545</v>
      </c>
      <c r="K517" s="7"/>
      <c r="L517" s="9" t="s">
        <v>3</v>
      </c>
      <c r="M517" s="11" cm="1">
        <f t="array" ref="M517">IF(Invoices[[#This Row],[Status]]="Open",MAX(0,AsOf-Invoices[[#This Row],[Due Date]]),IF(Invoices[[#This Row],[Paid Date]]="","",MAX(0,Invoices[[#This Row],[Paid Date]]-Invoices[[#This Row],[Due Date]])))</f>
        <v>82</v>
      </c>
      <c r="N51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18" spans="1:14" ht="17.100000000000001" customHeight="1" x14ac:dyDescent="0.2">
      <c r="A518" s="6" t="s">
        <v>546</v>
      </c>
      <c r="B518" s="7">
        <v>46169</v>
      </c>
      <c r="C518" s="8" t="s">
        <v>31</v>
      </c>
      <c r="D518" s="8" t="s">
        <v>6</v>
      </c>
      <c r="E518" s="9">
        <v>60</v>
      </c>
      <c r="F518" s="7">
        <v>46229</v>
      </c>
      <c r="G518" s="10">
        <v>4174.34</v>
      </c>
      <c r="H518" s="10">
        <v>626.15</v>
      </c>
      <c r="I518" s="10">
        <v>4800.49</v>
      </c>
      <c r="J518" s="9" t="s">
        <v>2</v>
      </c>
      <c r="K518" s="7">
        <v>46228</v>
      </c>
      <c r="L518" s="9" t="s">
        <v>3</v>
      </c>
      <c r="M518" s="11" cm="1">
        <f t="array" ref="M518">IF(Invoices[[#This Row],[Status]]="Open",MAX(0,AsOf-Invoices[[#This Row],[Due Date]]),IF(Invoices[[#This Row],[Paid Date]]="","",MAX(0,Invoices[[#This Row],[Paid Date]]-Invoices[[#This Row],[Due Date]])))</f>
        <v>0</v>
      </c>
      <c r="N51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19" spans="1:14" ht="17.100000000000001" customHeight="1" x14ac:dyDescent="0.2">
      <c r="A519" s="6" t="s">
        <v>547</v>
      </c>
      <c r="B519" s="7">
        <v>46169</v>
      </c>
      <c r="C519" s="8" t="s">
        <v>34</v>
      </c>
      <c r="D519" s="8" t="s">
        <v>21</v>
      </c>
      <c r="E519" s="9">
        <v>30</v>
      </c>
      <c r="F519" s="7">
        <v>46199</v>
      </c>
      <c r="G519" s="10">
        <v>1302.53</v>
      </c>
      <c r="H519" s="10">
        <v>195.38</v>
      </c>
      <c r="I519" s="10">
        <v>1497.91</v>
      </c>
      <c r="J519" s="9" t="s">
        <v>2</v>
      </c>
      <c r="K519" s="7">
        <v>46204</v>
      </c>
      <c r="L519" s="9" t="s">
        <v>3</v>
      </c>
      <c r="M519" s="11" cm="1">
        <f t="array" ref="M519">IF(Invoices[[#This Row],[Status]]="Open",MAX(0,AsOf-Invoices[[#This Row],[Due Date]]),IF(Invoices[[#This Row],[Paid Date]]="","",MAX(0,Invoices[[#This Row],[Paid Date]]-Invoices[[#This Row],[Due Date]])))</f>
        <v>5</v>
      </c>
      <c r="N51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20" spans="1:14" ht="17.100000000000001" customHeight="1" x14ac:dyDescent="0.2">
      <c r="A520" s="6" t="s">
        <v>548</v>
      </c>
      <c r="B520" s="7">
        <v>46169</v>
      </c>
      <c r="C520" s="8" t="s">
        <v>13</v>
      </c>
      <c r="D520" s="8" t="s">
        <v>1</v>
      </c>
      <c r="E520" s="9">
        <v>30</v>
      </c>
      <c r="F520" s="7">
        <v>46199</v>
      </c>
      <c r="G520" s="10">
        <v>5421.77</v>
      </c>
      <c r="H520" s="10">
        <v>813.27</v>
      </c>
      <c r="I520" s="10">
        <v>6235.04</v>
      </c>
      <c r="J520" s="9" t="s">
        <v>2</v>
      </c>
      <c r="K520" s="7">
        <v>46194</v>
      </c>
      <c r="L520" s="9" t="s">
        <v>3</v>
      </c>
      <c r="M520" s="11" cm="1">
        <f t="array" ref="M520">IF(Invoices[[#This Row],[Status]]="Open",MAX(0,AsOf-Invoices[[#This Row],[Due Date]]),IF(Invoices[[#This Row],[Paid Date]]="","",MAX(0,Invoices[[#This Row],[Paid Date]]-Invoices[[#This Row],[Due Date]])))</f>
        <v>0</v>
      </c>
      <c r="N52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21" spans="1:14" ht="17.100000000000001" customHeight="1" x14ac:dyDescent="0.2">
      <c r="A521" s="6" t="s">
        <v>549</v>
      </c>
      <c r="B521" s="7">
        <v>46169</v>
      </c>
      <c r="C521" s="8" t="s">
        <v>5</v>
      </c>
      <c r="D521" s="8" t="s">
        <v>6</v>
      </c>
      <c r="E521" s="9">
        <v>45</v>
      </c>
      <c r="F521" s="7">
        <v>46214</v>
      </c>
      <c r="G521" s="10">
        <v>13023.8</v>
      </c>
      <c r="H521" s="10">
        <v>1953.57</v>
      </c>
      <c r="I521" s="10">
        <v>14977.37</v>
      </c>
      <c r="J521" s="9" t="s">
        <v>2</v>
      </c>
      <c r="K521" s="7">
        <v>46224</v>
      </c>
      <c r="L521" s="9" t="s">
        <v>3</v>
      </c>
      <c r="M521" s="11" cm="1">
        <f t="array" ref="M521">IF(Invoices[[#This Row],[Status]]="Open",MAX(0,AsOf-Invoices[[#This Row],[Due Date]]),IF(Invoices[[#This Row],[Paid Date]]="","",MAX(0,Invoices[[#This Row],[Paid Date]]-Invoices[[#This Row],[Due Date]])))</f>
        <v>10</v>
      </c>
      <c r="N52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22" spans="1:14" ht="17.100000000000001" customHeight="1" x14ac:dyDescent="0.2">
      <c r="A522" s="6" t="s">
        <v>550</v>
      </c>
      <c r="B522" s="7">
        <v>46169</v>
      </c>
      <c r="C522" s="8" t="s">
        <v>31</v>
      </c>
      <c r="D522" s="8" t="s">
        <v>6</v>
      </c>
      <c r="E522" s="9">
        <v>60</v>
      </c>
      <c r="F522" s="7">
        <v>46229</v>
      </c>
      <c r="G522" s="10">
        <v>9394.5</v>
      </c>
      <c r="H522" s="10">
        <v>1409.17</v>
      </c>
      <c r="I522" s="10">
        <v>10803.67</v>
      </c>
      <c r="J522" s="9" t="s">
        <v>2</v>
      </c>
      <c r="K522" s="7">
        <v>46236</v>
      </c>
      <c r="L522" s="9" t="s">
        <v>3</v>
      </c>
      <c r="M522" s="11" cm="1">
        <f t="array" ref="M522">IF(Invoices[[#This Row],[Status]]="Open",MAX(0,AsOf-Invoices[[#This Row],[Due Date]]),IF(Invoices[[#This Row],[Paid Date]]="","",MAX(0,Invoices[[#This Row],[Paid Date]]-Invoices[[#This Row],[Due Date]])))</f>
        <v>7</v>
      </c>
      <c r="N52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23" spans="1:14" ht="17.100000000000001" customHeight="1" x14ac:dyDescent="0.2">
      <c r="A523" s="6" t="s">
        <v>551</v>
      </c>
      <c r="B523" s="7">
        <v>46173</v>
      </c>
      <c r="C523" s="8" t="s">
        <v>5</v>
      </c>
      <c r="D523" s="8" t="s">
        <v>6</v>
      </c>
      <c r="E523" s="9">
        <v>45</v>
      </c>
      <c r="F523" s="7">
        <v>46218</v>
      </c>
      <c r="G523" s="10">
        <v>12165.43</v>
      </c>
      <c r="H523" s="10">
        <v>1824.81</v>
      </c>
      <c r="I523" s="10">
        <v>13990.24</v>
      </c>
      <c r="J523" s="9" t="s">
        <v>2</v>
      </c>
      <c r="K523" s="7">
        <v>46220</v>
      </c>
      <c r="L523" s="9" t="s">
        <v>3</v>
      </c>
      <c r="M523" s="11" cm="1">
        <f t="array" ref="M523">IF(Invoices[[#This Row],[Status]]="Open",MAX(0,AsOf-Invoices[[#This Row],[Due Date]]),IF(Invoices[[#This Row],[Paid Date]]="","",MAX(0,Invoices[[#This Row],[Paid Date]]-Invoices[[#This Row],[Due Date]])))</f>
        <v>2</v>
      </c>
      <c r="N52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24" spans="1:14" ht="17.100000000000001" customHeight="1" x14ac:dyDescent="0.2">
      <c r="A524" s="6" t="s">
        <v>552</v>
      </c>
      <c r="B524" s="7">
        <v>46173</v>
      </c>
      <c r="C524" s="8" t="s">
        <v>36</v>
      </c>
      <c r="D524" s="8" t="s">
        <v>17</v>
      </c>
      <c r="E524" s="9">
        <v>30</v>
      </c>
      <c r="F524" s="7">
        <v>46203</v>
      </c>
      <c r="G524" s="10">
        <v>1738.42</v>
      </c>
      <c r="H524" s="10">
        <v>260.76</v>
      </c>
      <c r="I524" s="10">
        <v>1999.18</v>
      </c>
      <c r="J524" s="9" t="s">
        <v>2</v>
      </c>
      <c r="K524" s="7">
        <v>46216</v>
      </c>
      <c r="L524" s="9" t="s">
        <v>3</v>
      </c>
      <c r="M524" s="11" cm="1">
        <f t="array" ref="M524">IF(Invoices[[#This Row],[Status]]="Open",MAX(0,AsOf-Invoices[[#This Row],[Due Date]]),IF(Invoices[[#This Row],[Paid Date]]="","",MAX(0,Invoices[[#This Row],[Paid Date]]-Invoices[[#This Row],[Due Date]])))</f>
        <v>13</v>
      </c>
      <c r="N52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25" spans="1:14" ht="17.100000000000001" customHeight="1" x14ac:dyDescent="0.2">
      <c r="A525" s="6" t="s">
        <v>553</v>
      </c>
      <c r="B525" s="7">
        <v>46173</v>
      </c>
      <c r="C525" s="8" t="s">
        <v>5</v>
      </c>
      <c r="D525" s="8" t="s">
        <v>6</v>
      </c>
      <c r="E525" s="9">
        <v>45</v>
      </c>
      <c r="F525" s="7">
        <v>46218</v>
      </c>
      <c r="G525" s="10">
        <v>4970.1499999999996</v>
      </c>
      <c r="H525" s="10">
        <v>745.52</v>
      </c>
      <c r="I525" s="10">
        <v>5715.67</v>
      </c>
      <c r="J525" s="9" t="s">
        <v>2</v>
      </c>
      <c r="K525" s="7">
        <v>46219</v>
      </c>
      <c r="L525" s="9" t="s">
        <v>3</v>
      </c>
      <c r="M525" s="11" cm="1">
        <f t="array" ref="M525">IF(Invoices[[#This Row],[Status]]="Open",MAX(0,AsOf-Invoices[[#This Row],[Due Date]]),IF(Invoices[[#This Row],[Paid Date]]="","",MAX(0,Invoices[[#This Row],[Paid Date]]-Invoices[[#This Row],[Due Date]])))</f>
        <v>1</v>
      </c>
      <c r="N52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26" spans="1:14" ht="17.100000000000001" customHeight="1" x14ac:dyDescent="0.2">
      <c r="A526" s="6" t="s">
        <v>554</v>
      </c>
      <c r="B526" s="7">
        <v>46174</v>
      </c>
      <c r="C526" s="8" t="s">
        <v>10</v>
      </c>
      <c r="D526" s="8" t="s">
        <v>11</v>
      </c>
      <c r="E526" s="9">
        <v>30</v>
      </c>
      <c r="F526" s="7">
        <v>46204</v>
      </c>
      <c r="G526" s="10">
        <v>6862.56</v>
      </c>
      <c r="H526" s="10"/>
      <c r="I526" s="10">
        <v>6862.56</v>
      </c>
      <c r="J526" s="9" t="s">
        <v>2</v>
      </c>
      <c r="K526" s="7">
        <v>46205</v>
      </c>
      <c r="L526" s="9" t="s">
        <v>3</v>
      </c>
      <c r="M526" s="11" cm="1">
        <f t="array" ref="M526">IF(Invoices[[#This Row],[Status]]="Open",MAX(0,AsOf-Invoices[[#This Row],[Due Date]]),IF(Invoices[[#This Row],[Paid Date]]="","",MAX(0,Invoices[[#This Row],[Paid Date]]-Invoices[[#This Row],[Due Date]])))</f>
        <v>1</v>
      </c>
      <c r="N52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Missing VAT</v>
      </c>
    </row>
    <row r="527" spans="1:14" ht="17.100000000000001" customHeight="1" x14ac:dyDescent="0.2">
      <c r="A527" s="6" t="s">
        <v>555</v>
      </c>
      <c r="B527" s="7">
        <v>46174</v>
      </c>
      <c r="C527" s="8" t="s">
        <v>16</v>
      </c>
      <c r="D527" s="8" t="s">
        <v>17</v>
      </c>
      <c r="E527" s="9">
        <v>30</v>
      </c>
      <c r="F527" s="7">
        <v>46204</v>
      </c>
      <c r="G527" s="10">
        <v>3009.55</v>
      </c>
      <c r="H527" s="10">
        <v>451.43</v>
      </c>
      <c r="I527" s="10">
        <v>3460.98</v>
      </c>
      <c r="J527" s="9" t="s">
        <v>2</v>
      </c>
      <c r="K527" s="7">
        <v>46211</v>
      </c>
      <c r="L527" s="9" t="s">
        <v>3</v>
      </c>
      <c r="M527" s="11" cm="1">
        <f t="array" ref="M527">IF(Invoices[[#This Row],[Status]]="Open",MAX(0,AsOf-Invoices[[#This Row],[Due Date]]),IF(Invoices[[#This Row],[Paid Date]]="","",MAX(0,Invoices[[#This Row],[Paid Date]]-Invoices[[#This Row],[Due Date]])))</f>
        <v>7</v>
      </c>
      <c r="N52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28" spans="1:14" ht="17.100000000000001" customHeight="1" x14ac:dyDescent="0.2">
      <c r="A528" s="6" t="s">
        <v>556</v>
      </c>
      <c r="B528" s="7">
        <v>46174</v>
      </c>
      <c r="C528" s="8" t="s">
        <v>56</v>
      </c>
      <c r="D528" s="8" t="s">
        <v>17</v>
      </c>
      <c r="E528" s="9">
        <v>30</v>
      </c>
      <c r="F528" s="7">
        <v>46204</v>
      </c>
      <c r="G528" s="10">
        <v>1828.48</v>
      </c>
      <c r="H528" s="10">
        <v>274.27</v>
      </c>
      <c r="I528" s="10">
        <v>2102.75</v>
      </c>
      <c r="J528" s="9" t="s">
        <v>2</v>
      </c>
      <c r="K528" s="7">
        <v>46211</v>
      </c>
      <c r="L528" s="9" t="s">
        <v>3</v>
      </c>
      <c r="M528" s="11" cm="1">
        <f t="array" ref="M528">IF(Invoices[[#This Row],[Status]]="Open",MAX(0,AsOf-Invoices[[#This Row],[Due Date]]),IF(Invoices[[#This Row],[Paid Date]]="","",MAX(0,Invoices[[#This Row],[Paid Date]]-Invoices[[#This Row],[Due Date]])))</f>
        <v>7</v>
      </c>
      <c r="N52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29" spans="1:14" ht="17.100000000000001" customHeight="1" x14ac:dyDescent="0.2">
      <c r="A529" s="6" t="s">
        <v>557</v>
      </c>
      <c r="B529" s="7">
        <v>46175</v>
      </c>
      <c r="C529" s="8" t="s">
        <v>5</v>
      </c>
      <c r="D529" s="8" t="s">
        <v>6</v>
      </c>
      <c r="E529" s="9">
        <v>45</v>
      </c>
      <c r="F529" s="7">
        <v>46220</v>
      </c>
      <c r="G529" s="10">
        <v>10963.66</v>
      </c>
      <c r="H529" s="10">
        <v>1644.55</v>
      </c>
      <c r="I529" s="10">
        <v>12608.21</v>
      </c>
      <c r="J529" s="9" t="s">
        <v>2</v>
      </c>
      <c r="K529" s="7">
        <v>46215</v>
      </c>
      <c r="L529" s="9" t="s">
        <v>3</v>
      </c>
      <c r="M529" s="11" cm="1">
        <f t="array" ref="M529">IF(Invoices[[#This Row],[Status]]="Open",MAX(0,AsOf-Invoices[[#This Row],[Due Date]]),IF(Invoices[[#This Row],[Paid Date]]="","",MAX(0,Invoices[[#This Row],[Paid Date]]-Invoices[[#This Row],[Due Date]])))</f>
        <v>0</v>
      </c>
      <c r="N52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30" spans="1:14" ht="17.100000000000001" customHeight="1" x14ac:dyDescent="0.2">
      <c r="A530" s="6" t="s">
        <v>558</v>
      </c>
      <c r="B530" s="7">
        <v>46176</v>
      </c>
      <c r="C530" s="8" t="s">
        <v>34</v>
      </c>
      <c r="D530" s="8" t="s">
        <v>21</v>
      </c>
      <c r="E530" s="9">
        <v>30</v>
      </c>
      <c r="F530" s="7">
        <v>46206</v>
      </c>
      <c r="G530" s="10">
        <v>2472.09</v>
      </c>
      <c r="H530" s="10">
        <v>370.81</v>
      </c>
      <c r="I530" s="10">
        <v>2842.9</v>
      </c>
      <c r="J530" s="9" t="s">
        <v>2</v>
      </c>
      <c r="K530" s="7">
        <v>46207</v>
      </c>
      <c r="L530" s="9" t="s">
        <v>3</v>
      </c>
      <c r="M530" s="11" cm="1">
        <f t="array" ref="M530">IF(Invoices[[#This Row],[Status]]="Open",MAX(0,AsOf-Invoices[[#This Row],[Due Date]]),IF(Invoices[[#This Row],[Paid Date]]="","",MAX(0,Invoices[[#This Row],[Paid Date]]-Invoices[[#This Row],[Due Date]])))</f>
        <v>1</v>
      </c>
      <c r="N53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31" spans="1:14" ht="17.100000000000001" customHeight="1" x14ac:dyDescent="0.2">
      <c r="A531" s="6" t="s">
        <v>559</v>
      </c>
      <c r="B531" s="7">
        <v>46177</v>
      </c>
      <c r="C531" s="8" t="s">
        <v>16</v>
      </c>
      <c r="D531" s="8" t="s">
        <v>17</v>
      </c>
      <c r="E531" s="9">
        <v>30</v>
      </c>
      <c r="F531" s="7">
        <v>46207</v>
      </c>
      <c r="G531" s="10">
        <v>2201.0500000000002</v>
      </c>
      <c r="H531" s="10">
        <v>330.16</v>
      </c>
      <c r="I531" s="10">
        <v>2531.21</v>
      </c>
      <c r="J531" s="9" t="s">
        <v>2</v>
      </c>
      <c r="K531" s="7">
        <v>46218</v>
      </c>
      <c r="L531" s="9" t="s">
        <v>3</v>
      </c>
      <c r="M531" s="11" cm="1">
        <f t="array" ref="M531">IF(Invoices[[#This Row],[Status]]="Open",MAX(0,AsOf-Invoices[[#This Row],[Due Date]]),IF(Invoices[[#This Row],[Paid Date]]="","",MAX(0,Invoices[[#This Row],[Paid Date]]-Invoices[[#This Row],[Due Date]])))</f>
        <v>11</v>
      </c>
      <c r="N53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32" spans="1:14" ht="17.100000000000001" customHeight="1" x14ac:dyDescent="0.2">
      <c r="A532" s="6" t="s">
        <v>560</v>
      </c>
      <c r="B532" s="7">
        <v>46177</v>
      </c>
      <c r="C532" s="8" t="s">
        <v>61</v>
      </c>
      <c r="D532" s="8" t="s">
        <v>62</v>
      </c>
      <c r="E532" s="9">
        <v>15</v>
      </c>
      <c r="F532" s="7">
        <v>46192</v>
      </c>
      <c r="G532" s="10">
        <v>1410.91</v>
      </c>
      <c r="H532" s="10">
        <v>211.64</v>
      </c>
      <c r="I532" s="10">
        <v>1622.55</v>
      </c>
      <c r="J532" s="9" t="s">
        <v>2</v>
      </c>
      <c r="K532" s="7">
        <v>46188</v>
      </c>
      <c r="L532" s="9" t="s">
        <v>3</v>
      </c>
      <c r="M532" s="11" cm="1">
        <f t="array" ref="M532">IF(Invoices[[#This Row],[Status]]="Open",MAX(0,AsOf-Invoices[[#This Row],[Due Date]]),IF(Invoices[[#This Row],[Paid Date]]="","",MAX(0,Invoices[[#This Row],[Paid Date]]-Invoices[[#This Row],[Due Date]])))</f>
        <v>0</v>
      </c>
      <c r="N53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33" spans="1:14" ht="17.100000000000001" customHeight="1" x14ac:dyDescent="0.2">
      <c r="A533" s="6" t="s">
        <v>561</v>
      </c>
      <c r="B533" s="7">
        <v>46177</v>
      </c>
      <c r="C533" s="8" t="s">
        <v>24</v>
      </c>
      <c r="D533" s="8" t="s">
        <v>25</v>
      </c>
      <c r="E533" s="9">
        <v>60</v>
      </c>
      <c r="F533" s="7">
        <v>46237</v>
      </c>
      <c r="G533" s="10">
        <v>8859.36</v>
      </c>
      <c r="H533" s="10">
        <v>1328.9</v>
      </c>
      <c r="I533" s="10">
        <v>10188.26</v>
      </c>
      <c r="J533" s="9" t="s">
        <v>2</v>
      </c>
      <c r="K533" s="7">
        <v>46235</v>
      </c>
      <c r="L533" s="9" t="s">
        <v>3</v>
      </c>
      <c r="M533" s="11" cm="1">
        <f t="array" ref="M533">IF(Invoices[[#This Row],[Status]]="Open",MAX(0,AsOf-Invoices[[#This Row],[Due Date]]),IF(Invoices[[#This Row],[Paid Date]]="","",MAX(0,Invoices[[#This Row],[Paid Date]]-Invoices[[#This Row],[Due Date]])))</f>
        <v>0</v>
      </c>
      <c r="N53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34" spans="1:14" ht="17.100000000000001" customHeight="1" x14ac:dyDescent="0.2">
      <c r="A534" s="6" t="s">
        <v>562</v>
      </c>
      <c r="B534" s="7">
        <v>46177</v>
      </c>
      <c r="C534" s="8" t="s">
        <v>75</v>
      </c>
      <c r="D534" s="8" t="s">
        <v>21</v>
      </c>
      <c r="E534" s="9">
        <v>30</v>
      </c>
      <c r="F534" s="7">
        <v>46207</v>
      </c>
      <c r="G534" s="10">
        <v>2119.54</v>
      </c>
      <c r="H534" s="10">
        <v>317.93</v>
      </c>
      <c r="I534" s="10">
        <v>2437.4699999999998</v>
      </c>
      <c r="J534" s="9" t="s">
        <v>2</v>
      </c>
      <c r="K534" s="7">
        <v>46202</v>
      </c>
      <c r="L534" s="9" t="s">
        <v>3</v>
      </c>
      <c r="M534" s="11" cm="1">
        <f t="array" ref="M534">IF(Invoices[[#This Row],[Status]]="Open",MAX(0,AsOf-Invoices[[#This Row],[Due Date]]),IF(Invoices[[#This Row],[Paid Date]]="","",MAX(0,Invoices[[#This Row],[Paid Date]]-Invoices[[#This Row],[Due Date]])))</f>
        <v>0</v>
      </c>
      <c r="N53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35" spans="1:14" ht="17.100000000000001" customHeight="1" x14ac:dyDescent="0.2">
      <c r="A535" s="6" t="s">
        <v>563</v>
      </c>
      <c r="B535" s="7">
        <v>46180</v>
      </c>
      <c r="C535" s="8" t="s">
        <v>61</v>
      </c>
      <c r="D535" s="8" t="s">
        <v>62</v>
      </c>
      <c r="E535" s="9">
        <v>15</v>
      </c>
      <c r="F535" s="7">
        <v>46195</v>
      </c>
      <c r="G535" s="10">
        <v>2563.9299999999998</v>
      </c>
      <c r="H535" s="10">
        <v>384.59</v>
      </c>
      <c r="I535" s="10">
        <v>2948.52</v>
      </c>
      <c r="J535" s="9" t="s">
        <v>2</v>
      </c>
      <c r="K535" s="7">
        <v>46199</v>
      </c>
      <c r="L535" s="9" t="s">
        <v>3</v>
      </c>
      <c r="M535" s="11" cm="1">
        <f t="array" ref="M535">IF(Invoices[[#This Row],[Status]]="Open",MAX(0,AsOf-Invoices[[#This Row],[Due Date]]),IF(Invoices[[#This Row],[Paid Date]]="","",MAX(0,Invoices[[#This Row],[Paid Date]]-Invoices[[#This Row],[Due Date]])))</f>
        <v>4</v>
      </c>
      <c r="N53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36" spans="1:14" ht="17.100000000000001" customHeight="1" x14ac:dyDescent="0.2">
      <c r="A536" s="6" t="s">
        <v>564</v>
      </c>
      <c r="B536" s="7">
        <v>46181</v>
      </c>
      <c r="C536" s="8" t="s">
        <v>34</v>
      </c>
      <c r="D536" s="8" t="s">
        <v>21</v>
      </c>
      <c r="E536" s="9">
        <v>30</v>
      </c>
      <c r="F536" s="7">
        <v>46211</v>
      </c>
      <c r="G536" s="10">
        <v>2752</v>
      </c>
      <c r="H536" s="10">
        <v>412.8</v>
      </c>
      <c r="I536" s="10">
        <v>3164.8</v>
      </c>
      <c r="J536" s="9" t="s">
        <v>2</v>
      </c>
      <c r="K536" s="7">
        <v>46275</v>
      </c>
      <c r="L536" s="9" t="s">
        <v>3</v>
      </c>
      <c r="M536" s="11" cm="1">
        <f t="array" ref="M536">IF(Invoices[[#This Row],[Status]]="Open",MAX(0,AsOf-Invoices[[#This Row],[Due Date]]),IF(Invoices[[#This Row],[Paid Date]]="","",MAX(0,Invoices[[#This Row],[Paid Date]]-Invoices[[#This Row],[Due Date]])))</f>
        <v>64</v>
      </c>
      <c r="N53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37" spans="1:14" ht="17.100000000000001" customHeight="1" x14ac:dyDescent="0.2">
      <c r="A537" s="6" t="s">
        <v>565</v>
      </c>
      <c r="B537" s="7">
        <v>46181</v>
      </c>
      <c r="C537" s="8" t="s">
        <v>20</v>
      </c>
      <c r="D537" s="8" t="s">
        <v>21</v>
      </c>
      <c r="E537" s="9">
        <v>30</v>
      </c>
      <c r="F537" s="7">
        <v>46211</v>
      </c>
      <c r="G537" s="10">
        <v>4767.18</v>
      </c>
      <c r="H537" s="10">
        <v>715.08</v>
      </c>
      <c r="I537" s="10">
        <v>5482.26</v>
      </c>
      <c r="J537" s="9" t="s">
        <v>2</v>
      </c>
      <c r="K537" s="7">
        <v>46211</v>
      </c>
      <c r="L537" s="9" t="s">
        <v>3</v>
      </c>
      <c r="M537" s="11" cm="1">
        <f t="array" ref="M537">IF(Invoices[[#This Row],[Status]]="Open",MAX(0,AsOf-Invoices[[#This Row],[Due Date]]),IF(Invoices[[#This Row],[Paid Date]]="","",MAX(0,Invoices[[#This Row],[Paid Date]]-Invoices[[#This Row],[Due Date]])))</f>
        <v>0</v>
      </c>
      <c r="N53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38" spans="1:14" ht="17.100000000000001" customHeight="1" x14ac:dyDescent="0.2">
      <c r="A538" s="6" t="s">
        <v>566</v>
      </c>
      <c r="B538" s="7">
        <v>46181</v>
      </c>
      <c r="C538" s="8" t="s">
        <v>31</v>
      </c>
      <c r="D538" s="8" t="s">
        <v>6</v>
      </c>
      <c r="E538" s="9">
        <v>60</v>
      </c>
      <c r="F538" s="7">
        <v>46241</v>
      </c>
      <c r="G538" s="10">
        <v>19842.29</v>
      </c>
      <c r="H538" s="10">
        <v>2976.34</v>
      </c>
      <c r="I538" s="10">
        <v>22818.63</v>
      </c>
      <c r="J538" s="9" t="s">
        <v>2</v>
      </c>
      <c r="K538" s="7">
        <v>46247</v>
      </c>
      <c r="L538" s="9" t="s">
        <v>3</v>
      </c>
      <c r="M538" s="11" cm="1">
        <f t="array" ref="M538">IF(Invoices[[#This Row],[Status]]="Open",MAX(0,AsOf-Invoices[[#This Row],[Due Date]]),IF(Invoices[[#This Row],[Paid Date]]="","",MAX(0,Invoices[[#This Row],[Paid Date]]-Invoices[[#This Row],[Due Date]])))</f>
        <v>6</v>
      </c>
      <c r="N53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39" spans="1:14" ht="17.100000000000001" customHeight="1" x14ac:dyDescent="0.2">
      <c r="A539" s="6" t="s">
        <v>567</v>
      </c>
      <c r="B539" s="7">
        <v>46181</v>
      </c>
      <c r="C539" s="8" t="s">
        <v>8</v>
      </c>
      <c r="D539" s="8" t="s">
        <v>6</v>
      </c>
      <c r="E539" s="9">
        <v>45</v>
      </c>
      <c r="F539" s="7">
        <v>46226</v>
      </c>
      <c r="G539" s="10">
        <v>12662.7</v>
      </c>
      <c r="H539" s="10">
        <v>1899.4</v>
      </c>
      <c r="I539" s="10">
        <v>14562.1</v>
      </c>
      <c r="J539" s="9" t="s">
        <v>2</v>
      </c>
      <c r="K539" s="7">
        <v>46230</v>
      </c>
      <c r="L539" s="9" t="s">
        <v>3</v>
      </c>
      <c r="M539" s="11" cm="1">
        <f t="array" ref="M539">IF(Invoices[[#This Row],[Status]]="Open",MAX(0,AsOf-Invoices[[#This Row],[Due Date]]),IF(Invoices[[#This Row],[Paid Date]]="","",MAX(0,Invoices[[#This Row],[Paid Date]]-Invoices[[#This Row],[Due Date]])))</f>
        <v>4</v>
      </c>
      <c r="N53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40" spans="1:14" ht="17.100000000000001" customHeight="1" x14ac:dyDescent="0.2">
      <c r="A540" s="6" t="s">
        <v>568</v>
      </c>
      <c r="B540" s="7">
        <v>46181</v>
      </c>
      <c r="C540" s="8" t="s">
        <v>8</v>
      </c>
      <c r="D540" s="8" t="s">
        <v>6</v>
      </c>
      <c r="E540" s="9">
        <v>45</v>
      </c>
      <c r="F540" s="7">
        <v>46226</v>
      </c>
      <c r="G540" s="10">
        <v>7079.74</v>
      </c>
      <c r="H540" s="10">
        <v>1061.96</v>
      </c>
      <c r="I540" s="10">
        <v>8141.7</v>
      </c>
      <c r="J540" s="9" t="s">
        <v>2</v>
      </c>
      <c r="K540" s="7">
        <v>46227</v>
      </c>
      <c r="L540" s="9" t="s">
        <v>3</v>
      </c>
      <c r="M540" s="11" cm="1">
        <f t="array" ref="M540">IF(Invoices[[#This Row],[Status]]="Open",MAX(0,AsOf-Invoices[[#This Row],[Due Date]]),IF(Invoices[[#This Row],[Paid Date]]="","",MAX(0,Invoices[[#This Row],[Paid Date]]-Invoices[[#This Row],[Due Date]])))</f>
        <v>1</v>
      </c>
      <c r="N54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41" spans="1:14" ht="17.100000000000001" customHeight="1" x14ac:dyDescent="0.2">
      <c r="A541" s="6" t="s">
        <v>569</v>
      </c>
      <c r="B541" s="7">
        <v>46182</v>
      </c>
      <c r="C541" s="8" t="s">
        <v>8</v>
      </c>
      <c r="D541" s="8" t="s">
        <v>6</v>
      </c>
      <c r="E541" s="9">
        <v>45</v>
      </c>
      <c r="F541" s="7">
        <v>46227</v>
      </c>
      <c r="G541" s="10">
        <v>14289.42</v>
      </c>
      <c r="H541" s="10">
        <v>2143.41</v>
      </c>
      <c r="I541" s="10">
        <v>16432.830000000002</v>
      </c>
      <c r="J541" s="9" t="s">
        <v>2</v>
      </c>
      <c r="K541" s="7">
        <v>46227</v>
      </c>
      <c r="L541" s="9" t="s">
        <v>3</v>
      </c>
      <c r="M541" s="11" cm="1">
        <f t="array" ref="M541">IF(Invoices[[#This Row],[Status]]="Open",MAX(0,AsOf-Invoices[[#This Row],[Due Date]]),IF(Invoices[[#This Row],[Paid Date]]="","",MAX(0,Invoices[[#This Row],[Paid Date]]-Invoices[[#This Row],[Due Date]])))</f>
        <v>0</v>
      </c>
      <c r="N54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42" spans="1:14" ht="17.100000000000001" customHeight="1" x14ac:dyDescent="0.2">
      <c r="A542" s="6" t="s">
        <v>570</v>
      </c>
      <c r="B542" s="7">
        <v>46182</v>
      </c>
      <c r="C542" s="8" t="s">
        <v>75</v>
      </c>
      <c r="D542" s="8" t="s">
        <v>21</v>
      </c>
      <c r="E542" s="9">
        <v>30</v>
      </c>
      <c r="F542" s="7">
        <v>46212</v>
      </c>
      <c r="G542" s="10">
        <v>4577.8900000000003</v>
      </c>
      <c r="H542" s="10">
        <v>686.68</v>
      </c>
      <c r="I542" s="10">
        <v>5264.57</v>
      </c>
      <c r="J542" s="9" t="s">
        <v>2</v>
      </c>
      <c r="K542" s="7">
        <v>46207</v>
      </c>
      <c r="L542" s="9" t="s">
        <v>3</v>
      </c>
      <c r="M542" s="11" cm="1">
        <f t="array" ref="M542">IF(Invoices[[#This Row],[Status]]="Open",MAX(0,AsOf-Invoices[[#This Row],[Due Date]]),IF(Invoices[[#This Row],[Paid Date]]="","",MAX(0,Invoices[[#This Row],[Paid Date]]-Invoices[[#This Row],[Due Date]])))</f>
        <v>0</v>
      </c>
      <c r="N54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43" spans="1:14" ht="17.100000000000001" customHeight="1" x14ac:dyDescent="0.2">
      <c r="A543" s="6" t="s">
        <v>571</v>
      </c>
      <c r="B543" s="7">
        <v>46182</v>
      </c>
      <c r="C543" s="8" t="s">
        <v>16</v>
      </c>
      <c r="D543" s="8" t="s">
        <v>17</v>
      </c>
      <c r="E543" s="9">
        <v>30</v>
      </c>
      <c r="F543" s="7">
        <v>46212</v>
      </c>
      <c r="G543" s="10">
        <v>2663.31</v>
      </c>
      <c r="H543" s="10">
        <v>399.5</v>
      </c>
      <c r="I543" s="10">
        <v>3062.81</v>
      </c>
      <c r="J543" s="9" t="s">
        <v>2</v>
      </c>
      <c r="K543" s="7">
        <v>46229</v>
      </c>
      <c r="L543" s="9" t="s">
        <v>3</v>
      </c>
      <c r="M543" s="11" cm="1">
        <f t="array" ref="M543">IF(Invoices[[#This Row],[Status]]="Open",MAX(0,AsOf-Invoices[[#This Row],[Due Date]]),IF(Invoices[[#This Row],[Paid Date]]="","",MAX(0,Invoices[[#This Row],[Paid Date]]-Invoices[[#This Row],[Due Date]])))</f>
        <v>17</v>
      </c>
      <c r="N54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44" spans="1:14" ht="17.100000000000001" customHeight="1" x14ac:dyDescent="0.2">
      <c r="A544" s="6" t="s">
        <v>572</v>
      </c>
      <c r="B544" s="7">
        <v>46182</v>
      </c>
      <c r="C544" s="8" t="s">
        <v>38</v>
      </c>
      <c r="D544" s="8" t="s">
        <v>39</v>
      </c>
      <c r="E544" s="9">
        <v>15</v>
      </c>
      <c r="F544" s="7">
        <v>46197</v>
      </c>
      <c r="G544" s="10">
        <v>1239.3499999999999</v>
      </c>
      <c r="H544" s="10">
        <v>185.9</v>
      </c>
      <c r="I544" s="10">
        <v>1425.25</v>
      </c>
      <c r="J544" s="9" t="s">
        <v>2</v>
      </c>
      <c r="K544" s="7">
        <v>46192</v>
      </c>
      <c r="L544" s="9" t="s">
        <v>3</v>
      </c>
      <c r="M544" s="11" cm="1">
        <f t="array" ref="M544">IF(Invoices[[#This Row],[Status]]="Open",MAX(0,AsOf-Invoices[[#This Row],[Due Date]]),IF(Invoices[[#This Row],[Paid Date]]="","",MAX(0,Invoices[[#This Row],[Paid Date]]-Invoices[[#This Row],[Due Date]])))</f>
        <v>0</v>
      </c>
      <c r="N54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45" spans="1:14" ht="17.100000000000001" customHeight="1" x14ac:dyDescent="0.2">
      <c r="A545" s="6" t="s">
        <v>573</v>
      </c>
      <c r="B545" s="7">
        <v>46182</v>
      </c>
      <c r="C545" s="8" t="s">
        <v>24</v>
      </c>
      <c r="D545" s="8" t="s">
        <v>25</v>
      </c>
      <c r="E545" s="9">
        <v>60</v>
      </c>
      <c r="F545" s="7">
        <v>46242</v>
      </c>
      <c r="G545" s="10">
        <v>10790.82</v>
      </c>
      <c r="H545" s="10">
        <v>1618.62</v>
      </c>
      <c r="I545" s="10">
        <v>12409.44</v>
      </c>
      <c r="J545" s="9" t="s">
        <v>2</v>
      </c>
      <c r="K545" s="7">
        <v>46246</v>
      </c>
      <c r="L545" s="9" t="s">
        <v>3</v>
      </c>
      <c r="M545" s="11" cm="1">
        <f t="array" ref="M545">IF(Invoices[[#This Row],[Status]]="Open",MAX(0,AsOf-Invoices[[#This Row],[Due Date]]),IF(Invoices[[#This Row],[Paid Date]]="","",MAX(0,Invoices[[#This Row],[Paid Date]]-Invoices[[#This Row],[Due Date]])))</f>
        <v>4</v>
      </c>
      <c r="N54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46" spans="1:14" ht="17.100000000000001" customHeight="1" x14ac:dyDescent="0.2">
      <c r="A546" s="6" t="s">
        <v>574</v>
      </c>
      <c r="B546" s="7">
        <v>46183</v>
      </c>
      <c r="C546" s="8" t="s">
        <v>8</v>
      </c>
      <c r="D546" s="8" t="s">
        <v>6</v>
      </c>
      <c r="E546" s="9">
        <v>45</v>
      </c>
      <c r="F546" s="7">
        <v>46228</v>
      </c>
      <c r="G546" s="10">
        <v>7891.05</v>
      </c>
      <c r="H546" s="10">
        <v>1183.6600000000001</v>
      </c>
      <c r="I546" s="10">
        <v>9074.7099999999991</v>
      </c>
      <c r="J546" s="9" t="s">
        <v>2</v>
      </c>
      <c r="K546" s="7">
        <v>46228</v>
      </c>
      <c r="L546" s="9" t="s">
        <v>3</v>
      </c>
      <c r="M546" s="11" cm="1">
        <f t="array" ref="M546">IF(Invoices[[#This Row],[Status]]="Open",MAX(0,AsOf-Invoices[[#This Row],[Due Date]]),IF(Invoices[[#This Row],[Paid Date]]="","",MAX(0,Invoices[[#This Row],[Paid Date]]-Invoices[[#This Row],[Due Date]])))</f>
        <v>0</v>
      </c>
      <c r="N54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47" spans="1:14" ht="17.100000000000001" customHeight="1" x14ac:dyDescent="0.2">
      <c r="A547" s="6" t="s">
        <v>575</v>
      </c>
      <c r="B547" s="7">
        <v>46183</v>
      </c>
      <c r="C547" s="8" t="s">
        <v>31</v>
      </c>
      <c r="D547" s="8" t="s">
        <v>6</v>
      </c>
      <c r="E547" s="9">
        <v>60</v>
      </c>
      <c r="F547" s="7">
        <v>46243</v>
      </c>
      <c r="G547" s="10">
        <v>15436.46</v>
      </c>
      <c r="H547" s="10">
        <v>2315.4699999999998</v>
      </c>
      <c r="I547" s="10">
        <v>17751.93</v>
      </c>
      <c r="J547" s="9" t="s">
        <v>2</v>
      </c>
      <c r="K547" s="7">
        <v>46292</v>
      </c>
      <c r="L547" s="9" t="s">
        <v>3</v>
      </c>
      <c r="M547" s="11" cm="1">
        <f t="array" ref="M547">IF(Invoices[[#This Row],[Status]]="Open",MAX(0,AsOf-Invoices[[#This Row],[Due Date]]),IF(Invoices[[#This Row],[Paid Date]]="","",MAX(0,Invoices[[#This Row],[Paid Date]]-Invoices[[#This Row],[Due Date]])))</f>
        <v>49</v>
      </c>
      <c r="N54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48" spans="1:14" ht="17.100000000000001" customHeight="1" x14ac:dyDescent="0.2">
      <c r="A548" s="6" t="s">
        <v>576</v>
      </c>
      <c r="B548" s="7">
        <v>46184</v>
      </c>
      <c r="C548" s="8" t="s">
        <v>10</v>
      </c>
      <c r="D548" s="8" t="s">
        <v>11</v>
      </c>
      <c r="E548" s="9">
        <v>30</v>
      </c>
      <c r="F548" s="7">
        <v>46214</v>
      </c>
      <c r="G548" s="10">
        <v>12336.6</v>
      </c>
      <c r="H548" s="10">
        <v>1850.49</v>
      </c>
      <c r="I548" s="10">
        <v>14187.09</v>
      </c>
      <c r="J548" s="9" t="s">
        <v>2</v>
      </c>
      <c r="K548" s="7">
        <v>46217</v>
      </c>
      <c r="L548" s="9" t="s">
        <v>3</v>
      </c>
      <c r="M548" s="11" cm="1">
        <f t="array" ref="M548">IF(Invoices[[#This Row],[Status]]="Open",MAX(0,AsOf-Invoices[[#This Row],[Due Date]]),IF(Invoices[[#This Row],[Paid Date]]="","",MAX(0,Invoices[[#This Row],[Paid Date]]-Invoices[[#This Row],[Due Date]])))</f>
        <v>3</v>
      </c>
      <c r="N54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49" spans="1:14" ht="17.100000000000001" customHeight="1" x14ac:dyDescent="0.2">
      <c r="A549" s="6" t="s">
        <v>577</v>
      </c>
      <c r="B549" s="7">
        <v>46184</v>
      </c>
      <c r="C549" s="8" t="s">
        <v>24</v>
      </c>
      <c r="D549" s="8" t="s">
        <v>25</v>
      </c>
      <c r="E549" s="9">
        <v>60</v>
      </c>
      <c r="F549" s="7">
        <v>46244</v>
      </c>
      <c r="G549" s="10">
        <v>7017.68</v>
      </c>
      <c r="H549" s="10">
        <v>1052.6500000000001</v>
      </c>
      <c r="I549" s="10">
        <v>8070.33</v>
      </c>
      <c r="J549" s="9" t="s">
        <v>2</v>
      </c>
      <c r="K549" s="7">
        <v>46294</v>
      </c>
      <c r="L549" s="9" t="s">
        <v>3</v>
      </c>
      <c r="M549" s="11" cm="1">
        <f t="array" ref="M549">IF(Invoices[[#This Row],[Status]]="Open",MAX(0,AsOf-Invoices[[#This Row],[Due Date]]),IF(Invoices[[#This Row],[Paid Date]]="","",MAX(0,Invoices[[#This Row],[Paid Date]]-Invoices[[#This Row],[Due Date]])))</f>
        <v>50</v>
      </c>
      <c r="N54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50" spans="1:14" ht="17.100000000000001" customHeight="1" x14ac:dyDescent="0.2">
      <c r="A550" s="6" t="s">
        <v>578</v>
      </c>
      <c r="B550" s="7">
        <v>46187</v>
      </c>
      <c r="C550" s="8" t="s">
        <v>16</v>
      </c>
      <c r="D550" s="8" t="s">
        <v>17</v>
      </c>
      <c r="E550" s="9">
        <v>30</v>
      </c>
      <c r="F550" s="7">
        <v>46217</v>
      </c>
      <c r="G550" s="10">
        <v>4542.45</v>
      </c>
      <c r="H550" s="10">
        <v>681.37</v>
      </c>
      <c r="I550" s="10">
        <v>5223.82</v>
      </c>
      <c r="J550" s="9" t="s">
        <v>2</v>
      </c>
      <c r="K550" s="7">
        <v>46217</v>
      </c>
      <c r="L550" s="9" t="s">
        <v>3</v>
      </c>
      <c r="M550" s="11" cm="1">
        <f t="array" ref="M550">IF(Invoices[[#This Row],[Status]]="Open",MAX(0,AsOf-Invoices[[#This Row],[Due Date]]),IF(Invoices[[#This Row],[Paid Date]]="","",MAX(0,Invoices[[#This Row],[Paid Date]]-Invoices[[#This Row],[Due Date]])))</f>
        <v>0</v>
      </c>
      <c r="N55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51" spans="1:14" ht="17.100000000000001" customHeight="1" x14ac:dyDescent="0.2">
      <c r="A551" s="6" t="s">
        <v>579</v>
      </c>
      <c r="B551" s="7">
        <v>46187</v>
      </c>
      <c r="C551" s="8" t="s">
        <v>75</v>
      </c>
      <c r="D551" s="8" t="s">
        <v>21</v>
      </c>
      <c r="E551" s="9">
        <v>30</v>
      </c>
      <c r="F551" s="7">
        <v>46217</v>
      </c>
      <c r="G551" s="10">
        <v>5136.18</v>
      </c>
      <c r="H551" s="10">
        <v>770.43</v>
      </c>
      <c r="I551" s="10">
        <v>5906.61</v>
      </c>
      <c r="J551" s="9" t="s">
        <v>2</v>
      </c>
      <c r="K551" s="7">
        <v>46219</v>
      </c>
      <c r="L551" s="9" t="s">
        <v>3</v>
      </c>
      <c r="M551" s="11" cm="1">
        <f t="array" ref="M551">IF(Invoices[[#This Row],[Status]]="Open",MAX(0,AsOf-Invoices[[#This Row],[Due Date]]),IF(Invoices[[#This Row],[Paid Date]]="","",MAX(0,Invoices[[#This Row],[Paid Date]]-Invoices[[#This Row],[Due Date]])))</f>
        <v>2</v>
      </c>
      <c r="N55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52" spans="1:14" ht="17.100000000000001" customHeight="1" x14ac:dyDescent="0.2">
      <c r="A552" s="6" t="s">
        <v>580</v>
      </c>
      <c r="B552" s="7">
        <v>46188</v>
      </c>
      <c r="C552" s="8" t="s">
        <v>24</v>
      </c>
      <c r="D552" s="8" t="s">
        <v>25</v>
      </c>
      <c r="E552" s="9">
        <v>60</v>
      </c>
      <c r="F552" s="7">
        <v>46248</v>
      </c>
      <c r="G552" s="10">
        <v>8651.94</v>
      </c>
      <c r="H552" s="10">
        <v>1297.79</v>
      </c>
      <c r="I552" s="10">
        <v>9949.73</v>
      </c>
      <c r="J552" s="9" t="s">
        <v>2</v>
      </c>
      <c r="K552" s="7">
        <v>46254</v>
      </c>
      <c r="L552" s="9" t="s">
        <v>3</v>
      </c>
      <c r="M552" s="11" cm="1">
        <f t="array" ref="M552">IF(Invoices[[#This Row],[Status]]="Open",MAX(0,AsOf-Invoices[[#This Row],[Due Date]]),IF(Invoices[[#This Row],[Paid Date]]="","",MAX(0,Invoices[[#This Row],[Paid Date]]-Invoices[[#This Row],[Due Date]])))</f>
        <v>6</v>
      </c>
      <c r="N55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53" spans="1:14" ht="17.100000000000001" customHeight="1" x14ac:dyDescent="0.2">
      <c r="A553" s="6" t="s">
        <v>581</v>
      </c>
      <c r="B553" s="7">
        <v>46188</v>
      </c>
      <c r="C553" s="8" t="s">
        <v>5</v>
      </c>
      <c r="D553" s="8" t="s">
        <v>6</v>
      </c>
      <c r="E553" s="9">
        <v>45</v>
      </c>
      <c r="F553" s="7">
        <v>46233</v>
      </c>
      <c r="G553" s="10">
        <v>15585.5</v>
      </c>
      <c r="H553" s="10">
        <v>2337.8200000000002</v>
      </c>
      <c r="I553" s="10">
        <v>17923.32</v>
      </c>
      <c r="J553" s="9" t="s">
        <v>2</v>
      </c>
      <c r="K553" s="7">
        <v>46236</v>
      </c>
      <c r="L553" s="9" t="s">
        <v>3</v>
      </c>
      <c r="M553" s="11" cm="1">
        <f t="array" ref="M553">IF(Invoices[[#This Row],[Status]]="Open",MAX(0,AsOf-Invoices[[#This Row],[Due Date]]),IF(Invoices[[#This Row],[Paid Date]]="","",MAX(0,Invoices[[#This Row],[Paid Date]]-Invoices[[#This Row],[Due Date]])))</f>
        <v>3</v>
      </c>
      <c r="N55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54" spans="1:14" ht="17.100000000000001" customHeight="1" x14ac:dyDescent="0.2">
      <c r="A554" s="6" t="s">
        <v>582</v>
      </c>
      <c r="B554" s="7">
        <v>46189</v>
      </c>
      <c r="C554" s="8" t="s">
        <v>24</v>
      </c>
      <c r="D554" s="8" t="s">
        <v>25</v>
      </c>
      <c r="E554" s="9">
        <v>60</v>
      </c>
      <c r="F554" s="7">
        <v>46249</v>
      </c>
      <c r="G554" s="10">
        <v>4959.62</v>
      </c>
      <c r="H554" s="10">
        <v>743.94</v>
      </c>
      <c r="I554" s="10">
        <v>5703.56</v>
      </c>
      <c r="J554" s="9" t="s">
        <v>2</v>
      </c>
      <c r="K554" s="7">
        <v>46255</v>
      </c>
      <c r="L554" s="9" t="s">
        <v>3</v>
      </c>
      <c r="M554" s="11" cm="1">
        <f t="array" ref="M554">IF(Invoices[[#This Row],[Status]]="Open",MAX(0,AsOf-Invoices[[#This Row],[Due Date]]),IF(Invoices[[#This Row],[Paid Date]]="","",MAX(0,Invoices[[#This Row],[Paid Date]]-Invoices[[#This Row],[Due Date]])))</f>
        <v>6</v>
      </c>
      <c r="N55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55" spans="1:14" ht="17.100000000000001" customHeight="1" x14ac:dyDescent="0.2">
      <c r="A555" s="6" t="s">
        <v>583</v>
      </c>
      <c r="B555" s="7">
        <v>46189</v>
      </c>
      <c r="C555" s="8" t="s">
        <v>5</v>
      </c>
      <c r="D555" s="8" t="s">
        <v>6</v>
      </c>
      <c r="E555" s="9">
        <v>45</v>
      </c>
      <c r="F555" s="7">
        <v>46234</v>
      </c>
      <c r="G555" s="10">
        <v>14091.7</v>
      </c>
      <c r="H555" s="10">
        <v>2113.7600000000002</v>
      </c>
      <c r="I555" s="10">
        <v>16205.46</v>
      </c>
      <c r="J555" s="9" t="s">
        <v>2</v>
      </c>
      <c r="K555" s="7">
        <v>46234</v>
      </c>
      <c r="L555" s="9" t="s">
        <v>3</v>
      </c>
      <c r="M555" s="11" cm="1">
        <f t="array" ref="M555">IF(Invoices[[#This Row],[Status]]="Open",MAX(0,AsOf-Invoices[[#This Row],[Due Date]]),IF(Invoices[[#This Row],[Paid Date]]="","",MAX(0,Invoices[[#This Row],[Paid Date]]-Invoices[[#This Row],[Due Date]])))</f>
        <v>0</v>
      </c>
      <c r="N55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56" spans="1:14" ht="17.100000000000001" customHeight="1" x14ac:dyDescent="0.2">
      <c r="A556" s="6" t="s">
        <v>584</v>
      </c>
      <c r="B556" s="7">
        <v>46189</v>
      </c>
      <c r="C556" s="8" t="s">
        <v>31</v>
      </c>
      <c r="D556" s="8" t="s">
        <v>6</v>
      </c>
      <c r="E556" s="9">
        <v>60</v>
      </c>
      <c r="F556" s="7">
        <v>46249</v>
      </c>
      <c r="G556" s="10">
        <v>9786.0499999999993</v>
      </c>
      <c r="H556" s="10">
        <v>1467.91</v>
      </c>
      <c r="I556" s="10">
        <v>11253.96</v>
      </c>
      <c r="J556" s="9" t="s">
        <v>2</v>
      </c>
      <c r="K556" s="7">
        <v>46244</v>
      </c>
      <c r="L556" s="9" t="s">
        <v>3</v>
      </c>
      <c r="M556" s="11" cm="1">
        <f t="array" ref="M556">IF(Invoices[[#This Row],[Status]]="Open",MAX(0,AsOf-Invoices[[#This Row],[Due Date]]),IF(Invoices[[#This Row],[Paid Date]]="","",MAX(0,Invoices[[#This Row],[Paid Date]]-Invoices[[#This Row],[Due Date]])))</f>
        <v>0</v>
      </c>
      <c r="N55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57" spans="1:14" ht="17.100000000000001" customHeight="1" x14ac:dyDescent="0.2">
      <c r="A557" s="6" t="s">
        <v>585</v>
      </c>
      <c r="B557" s="7">
        <v>46189</v>
      </c>
      <c r="C557" s="8" t="s">
        <v>8</v>
      </c>
      <c r="D557" s="8" t="s">
        <v>6</v>
      </c>
      <c r="E557" s="9">
        <v>45</v>
      </c>
      <c r="F557" s="7">
        <v>46234</v>
      </c>
      <c r="G557" s="10">
        <v>11632.02</v>
      </c>
      <c r="H557" s="10">
        <v>1744.8</v>
      </c>
      <c r="I557" s="10">
        <v>13376.82</v>
      </c>
      <c r="J557" s="9" t="s">
        <v>2</v>
      </c>
      <c r="K557" s="7">
        <v>46235</v>
      </c>
      <c r="L557" s="9" t="s">
        <v>3</v>
      </c>
      <c r="M557" s="11" cm="1">
        <f t="array" ref="M557">IF(Invoices[[#This Row],[Status]]="Open",MAX(0,AsOf-Invoices[[#This Row],[Due Date]]),IF(Invoices[[#This Row],[Paid Date]]="","",MAX(0,Invoices[[#This Row],[Paid Date]]-Invoices[[#This Row],[Due Date]])))</f>
        <v>1</v>
      </c>
      <c r="N55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58" spans="1:14" ht="17.100000000000001" customHeight="1" x14ac:dyDescent="0.2">
      <c r="A558" s="6" t="s">
        <v>586</v>
      </c>
      <c r="B558" s="7">
        <v>46191</v>
      </c>
      <c r="C558" s="8" t="s">
        <v>34</v>
      </c>
      <c r="D558" s="8" t="s">
        <v>21</v>
      </c>
      <c r="E558" s="9">
        <v>30</v>
      </c>
      <c r="F558" s="7">
        <v>46221</v>
      </c>
      <c r="G558" s="10">
        <v>3125.25</v>
      </c>
      <c r="H558" s="10">
        <v>468.79</v>
      </c>
      <c r="I558" s="10">
        <v>3594.04</v>
      </c>
      <c r="J558" s="9" t="s">
        <v>2</v>
      </c>
      <c r="K558" s="7">
        <v>46216</v>
      </c>
      <c r="L558" s="9" t="s">
        <v>3</v>
      </c>
      <c r="M558" s="11" cm="1">
        <f t="array" ref="M558">IF(Invoices[[#This Row],[Status]]="Open",MAX(0,AsOf-Invoices[[#This Row],[Due Date]]),IF(Invoices[[#This Row],[Paid Date]]="","",MAX(0,Invoices[[#This Row],[Paid Date]]-Invoices[[#This Row],[Due Date]])))</f>
        <v>0</v>
      </c>
      <c r="N55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59" spans="1:14" ht="17.100000000000001" customHeight="1" x14ac:dyDescent="0.2">
      <c r="A559" s="6" t="s">
        <v>587</v>
      </c>
      <c r="B559" s="7">
        <v>46191</v>
      </c>
      <c r="C559" s="8" t="s">
        <v>24</v>
      </c>
      <c r="D559" s="8" t="s">
        <v>25</v>
      </c>
      <c r="E559" s="9">
        <v>60</v>
      </c>
      <c r="F559" s="7">
        <v>46251</v>
      </c>
      <c r="G559" s="10">
        <v>12905.65</v>
      </c>
      <c r="H559" s="10">
        <v>1935.85</v>
      </c>
      <c r="I559" s="10">
        <v>14841.5</v>
      </c>
      <c r="J559" s="9" t="s">
        <v>2</v>
      </c>
      <c r="K559" s="7">
        <v>46253</v>
      </c>
      <c r="L559" s="9" t="s">
        <v>3</v>
      </c>
      <c r="M559" s="11" cm="1">
        <f t="array" ref="M559">IF(Invoices[[#This Row],[Status]]="Open",MAX(0,AsOf-Invoices[[#This Row],[Due Date]]),IF(Invoices[[#This Row],[Paid Date]]="","",MAX(0,Invoices[[#This Row],[Paid Date]]-Invoices[[#This Row],[Due Date]])))</f>
        <v>2</v>
      </c>
      <c r="N55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60" spans="1:14" ht="17.100000000000001" customHeight="1" x14ac:dyDescent="0.2">
      <c r="A560" s="6" t="s">
        <v>588</v>
      </c>
      <c r="B560" s="7">
        <v>46191</v>
      </c>
      <c r="C560" s="8" t="s">
        <v>13</v>
      </c>
      <c r="D560" s="8" t="s">
        <v>1</v>
      </c>
      <c r="E560" s="9">
        <v>30</v>
      </c>
      <c r="F560" s="7">
        <v>46221</v>
      </c>
      <c r="G560" s="10">
        <v>2612.2800000000002</v>
      </c>
      <c r="H560" s="10">
        <v>391.84</v>
      </c>
      <c r="I560" s="10">
        <v>3004.12</v>
      </c>
      <c r="J560" s="9" t="s">
        <v>2</v>
      </c>
      <c r="K560" s="7">
        <v>46223</v>
      </c>
      <c r="L560" s="9" t="s">
        <v>3</v>
      </c>
      <c r="M560" s="11" cm="1">
        <f t="array" ref="M560">IF(Invoices[[#This Row],[Status]]="Open",MAX(0,AsOf-Invoices[[#This Row],[Due Date]]),IF(Invoices[[#This Row],[Paid Date]]="","",MAX(0,Invoices[[#This Row],[Paid Date]]-Invoices[[#This Row],[Due Date]])))</f>
        <v>2</v>
      </c>
      <c r="N56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61" spans="1:14" ht="17.100000000000001" customHeight="1" x14ac:dyDescent="0.2">
      <c r="A561" s="6" t="s">
        <v>589</v>
      </c>
      <c r="B561" s="7">
        <v>46191</v>
      </c>
      <c r="C561" s="8" t="s">
        <v>5</v>
      </c>
      <c r="D561" s="8" t="s">
        <v>6</v>
      </c>
      <c r="E561" s="9">
        <v>45</v>
      </c>
      <c r="F561" s="7">
        <v>46236</v>
      </c>
      <c r="G561" s="10">
        <v>5718.88</v>
      </c>
      <c r="H561" s="10">
        <v>857.83</v>
      </c>
      <c r="I561" s="10">
        <v>6576.71</v>
      </c>
      <c r="J561" s="9" t="s">
        <v>2</v>
      </c>
      <c r="K561" s="7">
        <v>46239</v>
      </c>
      <c r="L561" s="9" t="s">
        <v>3</v>
      </c>
      <c r="M561" s="11" cm="1">
        <f t="array" ref="M561">IF(Invoices[[#This Row],[Status]]="Open",MAX(0,AsOf-Invoices[[#This Row],[Due Date]]),IF(Invoices[[#This Row],[Paid Date]]="","",MAX(0,Invoices[[#This Row],[Paid Date]]-Invoices[[#This Row],[Due Date]])))</f>
        <v>3</v>
      </c>
      <c r="N56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62" spans="1:14" ht="17.100000000000001" customHeight="1" x14ac:dyDescent="0.2">
      <c r="A562" s="6" t="s">
        <v>590</v>
      </c>
      <c r="B562" s="7">
        <v>46194</v>
      </c>
      <c r="C562" s="8" t="s">
        <v>24</v>
      </c>
      <c r="D562" s="8" t="s">
        <v>25</v>
      </c>
      <c r="E562" s="9">
        <v>60</v>
      </c>
      <c r="F562" s="7">
        <v>46254</v>
      </c>
      <c r="G562" s="10">
        <v>13620.61</v>
      </c>
      <c r="H562" s="10">
        <v>2043.09</v>
      </c>
      <c r="I562" s="10">
        <v>15663.7</v>
      </c>
      <c r="J562" s="9" t="s">
        <v>2</v>
      </c>
      <c r="K562" s="7">
        <v>46266</v>
      </c>
      <c r="L562" s="9" t="s">
        <v>3</v>
      </c>
      <c r="M562" s="11" cm="1">
        <f t="array" ref="M562">IF(Invoices[[#This Row],[Status]]="Open",MAX(0,AsOf-Invoices[[#This Row],[Due Date]]),IF(Invoices[[#This Row],[Paid Date]]="","",MAX(0,Invoices[[#This Row],[Paid Date]]-Invoices[[#This Row],[Due Date]])))</f>
        <v>12</v>
      </c>
      <c r="N56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63" spans="1:14" ht="17.100000000000001" customHeight="1" x14ac:dyDescent="0.2">
      <c r="A563" s="6" t="s">
        <v>591</v>
      </c>
      <c r="B563" s="7">
        <v>46194</v>
      </c>
      <c r="C563" s="8" t="s">
        <v>13</v>
      </c>
      <c r="D563" s="8" t="s">
        <v>1</v>
      </c>
      <c r="E563" s="9">
        <v>30</v>
      </c>
      <c r="F563" s="7">
        <v>46224</v>
      </c>
      <c r="G563" s="10">
        <v>6725</v>
      </c>
      <c r="H563" s="10">
        <v>1008.75</v>
      </c>
      <c r="I563" s="10">
        <v>7733.75</v>
      </c>
      <c r="J563" s="9" t="s">
        <v>2</v>
      </c>
      <c r="K563" s="7">
        <v>46219</v>
      </c>
      <c r="L563" s="9" t="s">
        <v>3</v>
      </c>
      <c r="M563" s="11" cm="1">
        <f t="array" ref="M563">IF(Invoices[[#This Row],[Status]]="Open",MAX(0,AsOf-Invoices[[#This Row],[Due Date]]),IF(Invoices[[#This Row],[Paid Date]]="","",MAX(0,Invoices[[#This Row],[Paid Date]]-Invoices[[#This Row],[Due Date]])))</f>
        <v>0</v>
      </c>
      <c r="N56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64" spans="1:14" ht="17.100000000000001" customHeight="1" x14ac:dyDescent="0.2">
      <c r="A564" s="6" t="s">
        <v>592</v>
      </c>
      <c r="B564" s="7">
        <v>46194</v>
      </c>
      <c r="C564" s="8" t="s">
        <v>8</v>
      </c>
      <c r="D564" s="8" t="s">
        <v>6</v>
      </c>
      <c r="E564" s="9">
        <v>45</v>
      </c>
      <c r="F564" s="7">
        <v>46239</v>
      </c>
      <c r="G564" s="10">
        <v>14731.94</v>
      </c>
      <c r="H564" s="10">
        <v>2209.79</v>
      </c>
      <c r="I564" s="10">
        <v>16941.73</v>
      </c>
      <c r="J564" s="9" t="s">
        <v>2</v>
      </c>
      <c r="K564" s="7">
        <v>46243</v>
      </c>
      <c r="L564" s="9" t="s">
        <v>3</v>
      </c>
      <c r="M564" s="11" cm="1">
        <f t="array" ref="M564">IF(Invoices[[#This Row],[Status]]="Open",MAX(0,AsOf-Invoices[[#This Row],[Due Date]]),IF(Invoices[[#This Row],[Paid Date]]="","",MAX(0,Invoices[[#This Row],[Paid Date]]-Invoices[[#This Row],[Due Date]])))</f>
        <v>4</v>
      </c>
      <c r="N56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65" spans="1:14" ht="17.100000000000001" customHeight="1" x14ac:dyDescent="0.2">
      <c r="A565" s="6" t="s">
        <v>593</v>
      </c>
      <c r="B565" s="7">
        <v>46195</v>
      </c>
      <c r="C565" s="8" t="s">
        <v>69</v>
      </c>
      <c r="D565" s="8" t="s">
        <v>6</v>
      </c>
      <c r="E565" s="9">
        <v>45</v>
      </c>
      <c r="F565" s="7">
        <v>46240</v>
      </c>
      <c r="G565" s="10">
        <v>10591.24</v>
      </c>
      <c r="H565" s="10">
        <v>1588.69</v>
      </c>
      <c r="I565" s="10">
        <v>12179.93</v>
      </c>
      <c r="J565" s="9" t="s">
        <v>2</v>
      </c>
      <c r="K565" s="7">
        <v>46242</v>
      </c>
      <c r="L565" s="9" t="s">
        <v>3</v>
      </c>
      <c r="M565" s="11" cm="1">
        <f t="array" ref="M565">IF(Invoices[[#This Row],[Status]]="Open",MAX(0,AsOf-Invoices[[#This Row],[Due Date]]),IF(Invoices[[#This Row],[Paid Date]]="","",MAX(0,Invoices[[#This Row],[Paid Date]]-Invoices[[#This Row],[Due Date]])))</f>
        <v>2</v>
      </c>
      <c r="N56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66" spans="1:14" ht="17.100000000000001" customHeight="1" x14ac:dyDescent="0.2">
      <c r="A566" s="6" t="s">
        <v>594</v>
      </c>
      <c r="B566" s="7">
        <v>46195</v>
      </c>
      <c r="C566" s="8" t="s">
        <v>34</v>
      </c>
      <c r="D566" s="8" t="s">
        <v>21</v>
      </c>
      <c r="E566" s="9">
        <v>30</v>
      </c>
      <c r="F566" s="7">
        <v>46225</v>
      </c>
      <c r="G566" s="10">
        <v>1590.31</v>
      </c>
      <c r="H566" s="10">
        <v>238.55</v>
      </c>
      <c r="I566" s="10">
        <v>1828.86</v>
      </c>
      <c r="J566" s="9" t="s">
        <v>2</v>
      </c>
      <c r="K566" s="7">
        <v>46224</v>
      </c>
      <c r="L566" s="9" t="s">
        <v>3</v>
      </c>
      <c r="M566" s="11" cm="1">
        <f t="array" ref="M566">IF(Invoices[[#This Row],[Status]]="Open",MAX(0,AsOf-Invoices[[#This Row],[Due Date]]),IF(Invoices[[#This Row],[Paid Date]]="","",MAX(0,Invoices[[#This Row],[Paid Date]]-Invoices[[#This Row],[Due Date]])))</f>
        <v>0</v>
      </c>
      <c r="N56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67" spans="1:14" ht="17.100000000000001" customHeight="1" x14ac:dyDescent="0.2">
      <c r="A567" s="6" t="s">
        <v>595</v>
      </c>
      <c r="B567" s="7">
        <v>46197</v>
      </c>
      <c r="C567" s="8" t="s">
        <v>75</v>
      </c>
      <c r="D567" s="8" t="s">
        <v>21</v>
      </c>
      <c r="E567" s="9">
        <v>30</v>
      </c>
      <c r="F567" s="7">
        <v>46227</v>
      </c>
      <c r="G567" s="10">
        <v>3941.9</v>
      </c>
      <c r="H567" s="10">
        <v>591.28</v>
      </c>
      <c r="I567" s="10">
        <v>4533.18</v>
      </c>
      <c r="J567" s="9" t="s">
        <v>2</v>
      </c>
      <c r="K567" s="7">
        <v>46235</v>
      </c>
      <c r="L567" s="9" t="s">
        <v>3</v>
      </c>
      <c r="M567" s="11" cm="1">
        <f t="array" ref="M567">IF(Invoices[[#This Row],[Status]]="Open",MAX(0,AsOf-Invoices[[#This Row],[Due Date]]),IF(Invoices[[#This Row],[Paid Date]]="","",MAX(0,Invoices[[#This Row],[Paid Date]]-Invoices[[#This Row],[Due Date]])))</f>
        <v>8</v>
      </c>
      <c r="N56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68" spans="1:14" ht="17.100000000000001" customHeight="1" x14ac:dyDescent="0.2">
      <c r="A568" s="6" t="s">
        <v>596</v>
      </c>
      <c r="B568" s="7">
        <v>46197</v>
      </c>
      <c r="C568" s="8" t="s">
        <v>16</v>
      </c>
      <c r="D568" s="8" t="s">
        <v>17</v>
      </c>
      <c r="E568" s="9">
        <v>30</v>
      </c>
      <c r="F568" s="7">
        <v>46227</v>
      </c>
      <c r="G568" s="10">
        <v>2352.92</v>
      </c>
      <c r="H568" s="10">
        <v>352.94</v>
      </c>
      <c r="I568" s="10">
        <v>2705.86</v>
      </c>
      <c r="J568" s="9" t="s">
        <v>2</v>
      </c>
      <c r="K568" s="7">
        <v>46236</v>
      </c>
      <c r="L568" s="9" t="s">
        <v>3</v>
      </c>
      <c r="M568" s="11" cm="1">
        <f t="array" ref="M568">IF(Invoices[[#This Row],[Status]]="Open",MAX(0,AsOf-Invoices[[#This Row],[Due Date]]),IF(Invoices[[#This Row],[Paid Date]]="","",MAX(0,Invoices[[#This Row],[Paid Date]]-Invoices[[#This Row],[Due Date]])))</f>
        <v>9</v>
      </c>
      <c r="N56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69" spans="1:14" ht="17.100000000000001" customHeight="1" x14ac:dyDescent="0.2">
      <c r="A569" s="6" t="s">
        <v>597</v>
      </c>
      <c r="B569" s="7">
        <v>46197</v>
      </c>
      <c r="C569" s="8" t="s">
        <v>36</v>
      </c>
      <c r="D569" s="8" t="s">
        <v>17</v>
      </c>
      <c r="E569" s="9">
        <v>30</v>
      </c>
      <c r="F569" s="7">
        <v>46227</v>
      </c>
      <c r="G569" s="10">
        <v>5425.88</v>
      </c>
      <c r="H569" s="10">
        <v>813.88</v>
      </c>
      <c r="I569" s="10">
        <v>6239.76</v>
      </c>
      <c r="J569" s="9" t="s">
        <v>2</v>
      </c>
      <c r="K569" s="7">
        <v>46283</v>
      </c>
      <c r="L569" s="9" t="s">
        <v>3</v>
      </c>
      <c r="M569" s="11" cm="1">
        <f t="array" ref="M569">IF(Invoices[[#This Row],[Status]]="Open",MAX(0,AsOf-Invoices[[#This Row],[Due Date]]),IF(Invoices[[#This Row],[Paid Date]]="","",MAX(0,Invoices[[#This Row],[Paid Date]]-Invoices[[#This Row],[Due Date]])))</f>
        <v>56</v>
      </c>
      <c r="N56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70" spans="1:14" ht="17.100000000000001" customHeight="1" x14ac:dyDescent="0.2">
      <c r="A570" s="6" t="s">
        <v>598</v>
      </c>
      <c r="B570" s="7">
        <v>46197</v>
      </c>
      <c r="C570" s="8" t="s">
        <v>24</v>
      </c>
      <c r="D570" s="8" t="s">
        <v>25</v>
      </c>
      <c r="E570" s="9">
        <v>60</v>
      </c>
      <c r="F570" s="7">
        <v>46257</v>
      </c>
      <c r="G570" s="10">
        <v>16809.98</v>
      </c>
      <c r="H570" s="10">
        <v>2521.5</v>
      </c>
      <c r="I570" s="10">
        <v>19331.48</v>
      </c>
      <c r="J570" s="9" t="s">
        <v>2</v>
      </c>
      <c r="K570" s="7">
        <v>46261</v>
      </c>
      <c r="L570" s="9" t="s">
        <v>3</v>
      </c>
      <c r="M570" s="11" cm="1">
        <f t="array" ref="M570">IF(Invoices[[#This Row],[Status]]="Open",MAX(0,AsOf-Invoices[[#This Row],[Due Date]]),IF(Invoices[[#This Row],[Paid Date]]="","",MAX(0,Invoices[[#This Row],[Paid Date]]-Invoices[[#This Row],[Due Date]])))</f>
        <v>4</v>
      </c>
      <c r="N57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71" spans="1:14" ht="17.100000000000001" customHeight="1" x14ac:dyDescent="0.2">
      <c r="A571" s="6" t="s">
        <v>599</v>
      </c>
      <c r="B571" s="7">
        <v>46197</v>
      </c>
      <c r="C571" s="8" t="s">
        <v>5</v>
      </c>
      <c r="D571" s="8" t="s">
        <v>6</v>
      </c>
      <c r="E571" s="9">
        <v>45</v>
      </c>
      <c r="F571" s="7">
        <v>46242</v>
      </c>
      <c r="G571" s="10">
        <v>8573.7800000000007</v>
      </c>
      <c r="H571" s="10">
        <v>1286.07</v>
      </c>
      <c r="I571" s="10">
        <v>9859.85</v>
      </c>
      <c r="J571" s="9" t="s">
        <v>2</v>
      </c>
      <c r="K571" s="7">
        <v>46254</v>
      </c>
      <c r="L571" s="9" t="s">
        <v>3</v>
      </c>
      <c r="M571" s="11" cm="1">
        <f t="array" ref="M571">IF(Invoices[[#This Row],[Status]]="Open",MAX(0,AsOf-Invoices[[#This Row],[Due Date]]),IF(Invoices[[#This Row],[Paid Date]]="","",MAX(0,Invoices[[#This Row],[Paid Date]]-Invoices[[#This Row],[Due Date]])))</f>
        <v>12</v>
      </c>
      <c r="N57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72" spans="1:14" ht="17.100000000000001" customHeight="1" x14ac:dyDescent="0.2">
      <c r="A572" s="6" t="s">
        <v>600</v>
      </c>
      <c r="B572" s="7">
        <v>46197</v>
      </c>
      <c r="C572" s="8" t="s">
        <v>31</v>
      </c>
      <c r="D572" s="8" t="s">
        <v>6</v>
      </c>
      <c r="E572" s="9">
        <v>60</v>
      </c>
      <c r="F572" s="7">
        <v>46257</v>
      </c>
      <c r="G572" s="10">
        <v>5785.32</v>
      </c>
      <c r="H572" s="10">
        <v>867.8</v>
      </c>
      <c r="I572" s="10">
        <v>6653.12</v>
      </c>
      <c r="J572" s="9" t="s">
        <v>2</v>
      </c>
      <c r="K572" s="7">
        <v>46298</v>
      </c>
      <c r="L572" s="9" t="s">
        <v>3</v>
      </c>
      <c r="M572" s="11" cm="1">
        <f t="array" ref="M572">IF(Invoices[[#This Row],[Status]]="Open",MAX(0,AsOf-Invoices[[#This Row],[Due Date]]),IF(Invoices[[#This Row],[Paid Date]]="","",MAX(0,Invoices[[#This Row],[Paid Date]]-Invoices[[#This Row],[Due Date]])))</f>
        <v>41</v>
      </c>
      <c r="N57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73" spans="1:14" ht="17.100000000000001" customHeight="1" x14ac:dyDescent="0.2">
      <c r="A573" s="6" t="s">
        <v>601</v>
      </c>
      <c r="B573" s="7">
        <v>46198</v>
      </c>
      <c r="C573" s="8" t="s">
        <v>10</v>
      </c>
      <c r="D573" s="8" t="s">
        <v>11</v>
      </c>
      <c r="E573" s="9">
        <v>30</v>
      </c>
      <c r="F573" s="7">
        <v>46228</v>
      </c>
      <c r="G573" s="10">
        <v>3758.91</v>
      </c>
      <c r="H573" s="10">
        <v>563.84</v>
      </c>
      <c r="I573" s="10">
        <v>4322.75</v>
      </c>
      <c r="J573" s="9" t="s">
        <v>2</v>
      </c>
      <c r="K573" s="7">
        <v>46235</v>
      </c>
      <c r="L573" s="9" t="s">
        <v>3</v>
      </c>
      <c r="M573" s="11" cm="1">
        <f t="array" ref="M573">IF(Invoices[[#This Row],[Status]]="Open",MAX(0,AsOf-Invoices[[#This Row],[Due Date]]),IF(Invoices[[#This Row],[Paid Date]]="","",MAX(0,Invoices[[#This Row],[Paid Date]]-Invoices[[#This Row],[Due Date]])))</f>
        <v>7</v>
      </c>
      <c r="N57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74" spans="1:14" ht="17.100000000000001" customHeight="1" x14ac:dyDescent="0.2">
      <c r="A574" s="6" t="s">
        <v>602</v>
      </c>
      <c r="B574" s="7">
        <v>46198</v>
      </c>
      <c r="C574" s="8" t="s">
        <v>31</v>
      </c>
      <c r="D574" s="8" t="s">
        <v>6</v>
      </c>
      <c r="E574" s="9">
        <v>60</v>
      </c>
      <c r="F574" s="7">
        <v>46258</v>
      </c>
      <c r="G574" s="10">
        <v>6935.28</v>
      </c>
      <c r="H574" s="10">
        <v>1040.29</v>
      </c>
      <c r="I574" s="10">
        <v>7975.57</v>
      </c>
      <c r="J574" s="9" t="s">
        <v>2</v>
      </c>
      <c r="K574" s="7">
        <v>46253</v>
      </c>
      <c r="L574" s="9" t="s">
        <v>3</v>
      </c>
      <c r="M574" s="11" cm="1">
        <f t="array" ref="M574">IF(Invoices[[#This Row],[Status]]="Open",MAX(0,AsOf-Invoices[[#This Row],[Due Date]]),IF(Invoices[[#This Row],[Paid Date]]="","",MAX(0,Invoices[[#This Row],[Paid Date]]-Invoices[[#This Row],[Due Date]])))</f>
        <v>0</v>
      </c>
      <c r="N57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75" spans="1:14" ht="17.100000000000001" customHeight="1" x14ac:dyDescent="0.2">
      <c r="A575" s="6" t="s">
        <v>603</v>
      </c>
      <c r="B575" s="7">
        <v>46198</v>
      </c>
      <c r="C575" s="8" t="s">
        <v>5</v>
      </c>
      <c r="D575" s="8" t="s">
        <v>6</v>
      </c>
      <c r="E575" s="9">
        <v>45</v>
      </c>
      <c r="F575" s="7">
        <v>46243</v>
      </c>
      <c r="G575" s="10">
        <v>13479.21</v>
      </c>
      <c r="H575" s="10">
        <v>2021.88</v>
      </c>
      <c r="I575" s="10">
        <v>15501.09</v>
      </c>
      <c r="J575" s="9" t="s">
        <v>2</v>
      </c>
      <c r="K575" s="7">
        <v>46243</v>
      </c>
      <c r="L575" s="9" t="s">
        <v>3</v>
      </c>
      <c r="M575" s="11" cm="1">
        <f t="array" ref="M575">IF(Invoices[[#This Row],[Status]]="Open",MAX(0,AsOf-Invoices[[#This Row],[Due Date]]),IF(Invoices[[#This Row],[Paid Date]]="","",MAX(0,Invoices[[#This Row],[Paid Date]]-Invoices[[#This Row],[Due Date]])))</f>
        <v>0</v>
      </c>
      <c r="N57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76" spans="1:14" ht="17.100000000000001" customHeight="1" x14ac:dyDescent="0.2">
      <c r="A576" s="6" t="s">
        <v>604</v>
      </c>
      <c r="B576" s="7">
        <v>46198</v>
      </c>
      <c r="C576" s="8" t="s">
        <v>5</v>
      </c>
      <c r="D576" s="8" t="s">
        <v>6</v>
      </c>
      <c r="E576" s="9">
        <v>45</v>
      </c>
      <c r="F576" s="7">
        <v>46243</v>
      </c>
      <c r="G576" s="10">
        <v>11658.86</v>
      </c>
      <c r="H576" s="10">
        <v>1748.83</v>
      </c>
      <c r="I576" s="10">
        <v>13407.69</v>
      </c>
      <c r="J576" s="9" t="s">
        <v>2</v>
      </c>
      <c r="K576" s="7">
        <v>46252</v>
      </c>
      <c r="L576" s="9" t="s">
        <v>3</v>
      </c>
      <c r="M576" s="11" cm="1">
        <f t="array" ref="M576">IF(Invoices[[#This Row],[Status]]="Open",MAX(0,AsOf-Invoices[[#This Row],[Due Date]]),IF(Invoices[[#This Row],[Paid Date]]="","",MAX(0,Invoices[[#This Row],[Paid Date]]-Invoices[[#This Row],[Due Date]])))</f>
        <v>9</v>
      </c>
      <c r="N57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77" spans="1:14" ht="17.100000000000001" customHeight="1" x14ac:dyDescent="0.2">
      <c r="A577" s="6" t="s">
        <v>605</v>
      </c>
      <c r="B577" s="7">
        <v>46198</v>
      </c>
      <c r="C577" s="8" t="s">
        <v>24</v>
      </c>
      <c r="D577" s="8" t="s">
        <v>25</v>
      </c>
      <c r="E577" s="9">
        <v>60</v>
      </c>
      <c r="F577" s="7">
        <v>46258</v>
      </c>
      <c r="G577" s="10">
        <v>2229.13</v>
      </c>
      <c r="H577" s="10">
        <v>334.37</v>
      </c>
      <c r="I577" s="10">
        <v>2563.5</v>
      </c>
      <c r="J577" s="9" t="s">
        <v>2</v>
      </c>
      <c r="K577" s="7">
        <v>46264</v>
      </c>
      <c r="L577" s="9" t="s">
        <v>3</v>
      </c>
      <c r="M577" s="11" cm="1">
        <f t="array" ref="M577">IF(Invoices[[#This Row],[Status]]="Open",MAX(0,AsOf-Invoices[[#This Row],[Due Date]]),IF(Invoices[[#This Row],[Paid Date]]="","",MAX(0,Invoices[[#This Row],[Paid Date]]-Invoices[[#This Row],[Due Date]])))</f>
        <v>6</v>
      </c>
      <c r="N57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78" spans="1:14" ht="17.100000000000001" customHeight="1" x14ac:dyDescent="0.2">
      <c r="A578" s="6" t="s">
        <v>606</v>
      </c>
      <c r="B578" s="7">
        <v>46198</v>
      </c>
      <c r="C578" s="8" t="s">
        <v>13</v>
      </c>
      <c r="D578" s="8" t="s">
        <v>1</v>
      </c>
      <c r="E578" s="9">
        <v>30</v>
      </c>
      <c r="F578" s="7">
        <v>46228</v>
      </c>
      <c r="G578" s="10">
        <v>3168.05</v>
      </c>
      <c r="H578" s="10">
        <v>475.21</v>
      </c>
      <c r="I578" s="10">
        <v>3643.26</v>
      </c>
      <c r="J578" s="9" t="s">
        <v>2</v>
      </c>
      <c r="K578" s="7">
        <v>46228</v>
      </c>
      <c r="L578" s="9" t="s">
        <v>3</v>
      </c>
      <c r="M578" s="11" cm="1">
        <f t="array" ref="M578">IF(Invoices[[#This Row],[Status]]="Open",MAX(0,AsOf-Invoices[[#This Row],[Due Date]]),IF(Invoices[[#This Row],[Paid Date]]="","",MAX(0,Invoices[[#This Row],[Paid Date]]-Invoices[[#This Row],[Due Date]])))</f>
        <v>0</v>
      </c>
      <c r="N57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79" spans="1:14" ht="17.100000000000001" customHeight="1" x14ac:dyDescent="0.2">
      <c r="A579" s="6" t="s">
        <v>607</v>
      </c>
      <c r="B579" s="7">
        <v>46198</v>
      </c>
      <c r="C579" s="8" t="s">
        <v>36</v>
      </c>
      <c r="D579" s="8" t="s">
        <v>17</v>
      </c>
      <c r="E579" s="9">
        <v>30</v>
      </c>
      <c r="F579" s="7">
        <v>46228</v>
      </c>
      <c r="G579" s="10">
        <v>3912.52</v>
      </c>
      <c r="H579" s="10">
        <v>586.88</v>
      </c>
      <c r="I579" s="10">
        <v>4499.3999999999996</v>
      </c>
      <c r="J579" s="9" t="s">
        <v>2</v>
      </c>
      <c r="K579" s="7">
        <v>46241</v>
      </c>
      <c r="L579" s="9" t="s">
        <v>3</v>
      </c>
      <c r="M579" s="11" cm="1">
        <f t="array" ref="M579">IF(Invoices[[#This Row],[Status]]="Open",MAX(0,AsOf-Invoices[[#This Row],[Due Date]]),IF(Invoices[[#This Row],[Paid Date]]="","",MAX(0,Invoices[[#This Row],[Paid Date]]-Invoices[[#This Row],[Due Date]])))</f>
        <v>13</v>
      </c>
      <c r="N57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80" spans="1:14" ht="17.100000000000001" customHeight="1" x14ac:dyDescent="0.2">
      <c r="A580" s="6" t="s">
        <v>608</v>
      </c>
      <c r="B580" s="7">
        <v>46201</v>
      </c>
      <c r="C580" s="8" t="s">
        <v>45</v>
      </c>
      <c r="D580" s="8" t="s">
        <v>17</v>
      </c>
      <c r="E580" s="9">
        <v>30</v>
      </c>
      <c r="F580" s="7">
        <v>46231</v>
      </c>
      <c r="G580" s="10">
        <v>5276.21</v>
      </c>
      <c r="H580" s="10">
        <v>791.43</v>
      </c>
      <c r="I580" s="10">
        <v>6067.64</v>
      </c>
      <c r="J580" s="9" t="s">
        <v>2</v>
      </c>
      <c r="K580" s="7">
        <v>46236</v>
      </c>
      <c r="L580" s="9" t="s">
        <v>3</v>
      </c>
      <c r="M580" s="11" cm="1">
        <f t="array" ref="M580">IF(Invoices[[#This Row],[Status]]="Open",MAX(0,AsOf-Invoices[[#This Row],[Due Date]]),IF(Invoices[[#This Row],[Paid Date]]="","",MAX(0,Invoices[[#This Row],[Paid Date]]-Invoices[[#This Row],[Due Date]])))</f>
        <v>5</v>
      </c>
      <c r="N58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81" spans="1:14" ht="17.100000000000001" customHeight="1" x14ac:dyDescent="0.2">
      <c r="A581" s="6" t="s">
        <v>609</v>
      </c>
      <c r="B581" s="7">
        <v>46201</v>
      </c>
      <c r="C581" s="8" t="s">
        <v>38</v>
      </c>
      <c r="D581" s="8" t="s">
        <v>39</v>
      </c>
      <c r="E581" s="9">
        <v>15</v>
      </c>
      <c r="F581" s="7">
        <v>46216</v>
      </c>
      <c r="G581" s="10">
        <v>2071.08</v>
      </c>
      <c r="H581" s="10">
        <v>310.66000000000003</v>
      </c>
      <c r="I581" s="10">
        <v>2381.7399999999998</v>
      </c>
      <c r="J581" s="9" t="s">
        <v>2</v>
      </c>
      <c r="K581" s="7">
        <v>46228</v>
      </c>
      <c r="L581" s="9" t="s">
        <v>3</v>
      </c>
      <c r="M581" s="11" cm="1">
        <f t="array" ref="M581">IF(Invoices[[#This Row],[Status]]="Open",MAX(0,AsOf-Invoices[[#This Row],[Due Date]]),IF(Invoices[[#This Row],[Paid Date]]="","",MAX(0,Invoices[[#This Row],[Paid Date]]-Invoices[[#This Row],[Due Date]])))</f>
        <v>12</v>
      </c>
      <c r="N58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82" spans="1:14" ht="17.100000000000001" customHeight="1" x14ac:dyDescent="0.2">
      <c r="A582" s="6" t="s">
        <v>610</v>
      </c>
      <c r="B582" s="7">
        <v>46201</v>
      </c>
      <c r="C582" s="8" t="s">
        <v>66</v>
      </c>
      <c r="D582" s="8" t="s">
        <v>62</v>
      </c>
      <c r="E582" s="9">
        <v>15</v>
      </c>
      <c r="F582" s="7">
        <v>46216</v>
      </c>
      <c r="G582" s="10">
        <v>1296.5899999999999</v>
      </c>
      <c r="H582" s="10">
        <v>194.49</v>
      </c>
      <c r="I582" s="10">
        <v>1491.08</v>
      </c>
      <c r="J582" s="9" t="s">
        <v>2</v>
      </c>
      <c r="K582" s="7">
        <v>46220</v>
      </c>
      <c r="L582" s="9" t="s">
        <v>3</v>
      </c>
      <c r="M582" s="11" cm="1">
        <f t="array" ref="M582">IF(Invoices[[#This Row],[Status]]="Open",MAX(0,AsOf-Invoices[[#This Row],[Due Date]]),IF(Invoices[[#This Row],[Paid Date]]="","",MAX(0,Invoices[[#This Row],[Paid Date]]-Invoices[[#This Row],[Due Date]])))</f>
        <v>4</v>
      </c>
      <c r="N58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83" spans="1:14" ht="17.100000000000001" customHeight="1" x14ac:dyDescent="0.2">
      <c r="A583" s="6" t="s">
        <v>611</v>
      </c>
      <c r="B583" s="7">
        <v>46201</v>
      </c>
      <c r="C583" s="8" t="s">
        <v>10</v>
      </c>
      <c r="D583" s="8" t="s">
        <v>11</v>
      </c>
      <c r="E583" s="9">
        <v>30</v>
      </c>
      <c r="F583" s="7">
        <v>46231</v>
      </c>
      <c r="G583" s="10">
        <v>5517.61</v>
      </c>
      <c r="H583" s="10">
        <v>827.64</v>
      </c>
      <c r="I583" s="10">
        <v>6345.25</v>
      </c>
      <c r="J583" s="9" t="s">
        <v>2</v>
      </c>
      <c r="K583" s="7">
        <v>46240</v>
      </c>
      <c r="L583" s="9" t="s">
        <v>3</v>
      </c>
      <c r="M583" s="11" cm="1">
        <f t="array" ref="M583">IF(Invoices[[#This Row],[Status]]="Open",MAX(0,AsOf-Invoices[[#This Row],[Due Date]]),IF(Invoices[[#This Row],[Paid Date]]="","",MAX(0,Invoices[[#This Row],[Paid Date]]-Invoices[[#This Row],[Due Date]])))</f>
        <v>9</v>
      </c>
      <c r="N58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84" spans="1:14" ht="17.100000000000001" customHeight="1" x14ac:dyDescent="0.2">
      <c r="A584" s="6" t="s">
        <v>612</v>
      </c>
      <c r="B584" s="7">
        <v>46203</v>
      </c>
      <c r="C584" s="8" t="s">
        <v>5</v>
      </c>
      <c r="D584" s="8" t="s">
        <v>6</v>
      </c>
      <c r="E584" s="9">
        <v>45</v>
      </c>
      <c r="F584" s="7">
        <v>46248</v>
      </c>
      <c r="G584" s="10">
        <v>17427.66</v>
      </c>
      <c r="H584" s="10">
        <v>2614.15</v>
      </c>
      <c r="I584" s="10">
        <v>20041.810000000001</v>
      </c>
      <c r="J584" s="9" t="s">
        <v>2</v>
      </c>
      <c r="K584" s="7">
        <v>46243</v>
      </c>
      <c r="L584" s="9" t="s">
        <v>3</v>
      </c>
      <c r="M584" s="11" cm="1">
        <f t="array" ref="M584">IF(Invoices[[#This Row],[Status]]="Open",MAX(0,AsOf-Invoices[[#This Row],[Due Date]]),IF(Invoices[[#This Row],[Paid Date]]="","",MAX(0,Invoices[[#This Row],[Paid Date]]-Invoices[[#This Row],[Due Date]])))</f>
        <v>0</v>
      </c>
      <c r="N58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85" spans="1:14" ht="17.100000000000001" customHeight="1" x14ac:dyDescent="0.2">
      <c r="A585" s="6" t="s">
        <v>613</v>
      </c>
      <c r="B585" s="7">
        <v>46203</v>
      </c>
      <c r="C585" s="8" t="s">
        <v>89</v>
      </c>
      <c r="D585" s="8" t="s">
        <v>39</v>
      </c>
      <c r="E585" s="9">
        <v>15</v>
      </c>
      <c r="F585" s="7">
        <v>46218</v>
      </c>
      <c r="G585" s="10">
        <v>2009.36</v>
      </c>
      <c r="H585" s="10">
        <v>301.39999999999998</v>
      </c>
      <c r="I585" s="10">
        <v>2310.7600000000002</v>
      </c>
      <c r="J585" s="9" t="s">
        <v>2</v>
      </c>
      <c r="K585" s="7">
        <v>46218</v>
      </c>
      <c r="L585" s="9" t="s">
        <v>3</v>
      </c>
      <c r="M585" s="11" cm="1">
        <f t="array" ref="M585">IF(Invoices[[#This Row],[Status]]="Open",MAX(0,AsOf-Invoices[[#This Row],[Due Date]]),IF(Invoices[[#This Row],[Paid Date]]="","",MAX(0,Invoices[[#This Row],[Paid Date]]-Invoices[[#This Row],[Due Date]])))</f>
        <v>0</v>
      </c>
      <c r="N58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86" spans="1:14" ht="17.100000000000001" customHeight="1" x14ac:dyDescent="0.2">
      <c r="A586" s="6" t="s">
        <v>614</v>
      </c>
      <c r="B586" s="7">
        <v>46203</v>
      </c>
      <c r="C586" s="8" t="s">
        <v>10</v>
      </c>
      <c r="D586" s="8" t="s">
        <v>11</v>
      </c>
      <c r="E586" s="9">
        <v>30</v>
      </c>
      <c r="F586" s="7">
        <v>46233</v>
      </c>
      <c r="G586" s="10">
        <v>10681.38</v>
      </c>
      <c r="H586" s="10">
        <v>1602.21</v>
      </c>
      <c r="I586" s="10">
        <v>12283.59</v>
      </c>
      <c r="J586" s="9" t="s">
        <v>2</v>
      </c>
      <c r="K586" s="7">
        <v>46236</v>
      </c>
      <c r="L586" s="9" t="s">
        <v>3</v>
      </c>
      <c r="M586" s="11" cm="1">
        <f t="array" ref="M586">IF(Invoices[[#This Row],[Status]]="Open",MAX(0,AsOf-Invoices[[#This Row],[Due Date]]),IF(Invoices[[#This Row],[Paid Date]]="","",MAX(0,Invoices[[#This Row],[Paid Date]]-Invoices[[#This Row],[Due Date]])))</f>
        <v>3</v>
      </c>
      <c r="N58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87" spans="1:14" ht="17.100000000000001" customHeight="1" x14ac:dyDescent="0.2">
      <c r="A587" s="6" t="s">
        <v>615</v>
      </c>
      <c r="B587" s="7">
        <v>46203</v>
      </c>
      <c r="C587" s="8" t="s">
        <v>45</v>
      </c>
      <c r="D587" s="8" t="s">
        <v>17</v>
      </c>
      <c r="E587" s="9">
        <v>30</v>
      </c>
      <c r="F587" s="7">
        <v>46233</v>
      </c>
      <c r="G587" s="10">
        <v>3902.86</v>
      </c>
      <c r="H587" s="10">
        <v>585.42999999999995</v>
      </c>
      <c r="I587" s="10">
        <v>4488.29</v>
      </c>
      <c r="J587" s="9" t="s">
        <v>2</v>
      </c>
      <c r="K587" s="7">
        <v>46232</v>
      </c>
      <c r="L587" s="9" t="s">
        <v>3</v>
      </c>
      <c r="M587" s="11" cm="1">
        <f t="array" ref="M587">IF(Invoices[[#This Row],[Status]]="Open",MAX(0,AsOf-Invoices[[#This Row],[Due Date]]),IF(Invoices[[#This Row],[Paid Date]]="","",MAX(0,Invoices[[#This Row],[Paid Date]]-Invoices[[#This Row],[Due Date]])))</f>
        <v>0</v>
      </c>
      <c r="N58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88" spans="1:14" ht="17.100000000000001" customHeight="1" x14ac:dyDescent="0.2">
      <c r="A588" s="6" t="s">
        <v>616</v>
      </c>
      <c r="B588" s="7">
        <v>46204</v>
      </c>
      <c r="C588" s="8" t="s">
        <v>45</v>
      </c>
      <c r="D588" s="8" t="s">
        <v>17</v>
      </c>
      <c r="E588" s="9">
        <v>30</v>
      </c>
      <c r="F588" s="7">
        <v>46234</v>
      </c>
      <c r="G588" s="10">
        <v>1888.18</v>
      </c>
      <c r="H588" s="10">
        <v>283.23</v>
      </c>
      <c r="I588" s="10">
        <v>2171.41</v>
      </c>
      <c r="J588" s="9" t="s">
        <v>2</v>
      </c>
      <c r="K588" s="7">
        <v>46239</v>
      </c>
      <c r="L588" s="9" t="s">
        <v>3</v>
      </c>
      <c r="M588" s="11" cm="1">
        <f t="array" ref="M588">IF(Invoices[[#This Row],[Status]]="Open",MAX(0,AsOf-Invoices[[#This Row],[Due Date]]),IF(Invoices[[#This Row],[Paid Date]]="","",MAX(0,Invoices[[#This Row],[Paid Date]]-Invoices[[#This Row],[Due Date]])))</f>
        <v>5</v>
      </c>
      <c r="N58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89" spans="1:14" ht="17.100000000000001" customHeight="1" x14ac:dyDescent="0.2">
      <c r="A589" s="6" t="s">
        <v>617</v>
      </c>
      <c r="B589" s="7">
        <v>46209</v>
      </c>
      <c r="C589" s="8" t="s">
        <v>13</v>
      </c>
      <c r="D589" s="8" t="s">
        <v>1</v>
      </c>
      <c r="E589" s="9">
        <v>30</v>
      </c>
      <c r="F589" s="7">
        <v>46239</v>
      </c>
      <c r="G589" s="10">
        <v>4099.0600000000004</v>
      </c>
      <c r="H589" s="10">
        <v>614.86</v>
      </c>
      <c r="I589" s="10">
        <v>4713.92</v>
      </c>
      <c r="J589" s="9" t="s">
        <v>2</v>
      </c>
      <c r="K589" s="7">
        <v>46237</v>
      </c>
      <c r="L589" s="9" t="s">
        <v>3</v>
      </c>
      <c r="M589" s="11" cm="1">
        <f t="array" ref="M589">IF(Invoices[[#This Row],[Status]]="Open",MAX(0,AsOf-Invoices[[#This Row],[Due Date]]),IF(Invoices[[#This Row],[Paid Date]]="","",MAX(0,Invoices[[#This Row],[Paid Date]]-Invoices[[#This Row],[Due Date]])))</f>
        <v>0</v>
      </c>
      <c r="N58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90" spans="1:14" ht="17.100000000000001" customHeight="1" x14ac:dyDescent="0.2">
      <c r="A590" s="6" t="s">
        <v>618</v>
      </c>
      <c r="B590" s="7">
        <v>46209</v>
      </c>
      <c r="C590" s="8" t="s">
        <v>16</v>
      </c>
      <c r="D590" s="8" t="s">
        <v>17</v>
      </c>
      <c r="E590" s="9">
        <v>30</v>
      </c>
      <c r="F590" s="7">
        <v>46239</v>
      </c>
      <c r="G590" s="10">
        <v>2612.9299999999998</v>
      </c>
      <c r="H590" s="10">
        <v>391.94</v>
      </c>
      <c r="I590" s="10">
        <v>3004.87</v>
      </c>
      <c r="J590" s="9" t="s">
        <v>2</v>
      </c>
      <c r="K590" s="7">
        <v>46251</v>
      </c>
      <c r="L590" s="9" t="s">
        <v>3</v>
      </c>
      <c r="M590" s="11" cm="1">
        <f t="array" ref="M590">IF(Invoices[[#This Row],[Status]]="Open",MAX(0,AsOf-Invoices[[#This Row],[Due Date]]),IF(Invoices[[#This Row],[Paid Date]]="","",MAX(0,Invoices[[#This Row],[Paid Date]]-Invoices[[#This Row],[Due Date]])))</f>
        <v>12</v>
      </c>
      <c r="N59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91" spans="1:14" ht="17.100000000000001" customHeight="1" x14ac:dyDescent="0.2">
      <c r="A591" s="6" t="s">
        <v>619</v>
      </c>
      <c r="B591" s="7">
        <v>46209</v>
      </c>
      <c r="C591" s="8" t="s">
        <v>31</v>
      </c>
      <c r="D591" s="8" t="s">
        <v>6</v>
      </c>
      <c r="E591" s="9">
        <v>60</v>
      </c>
      <c r="F591" s="7">
        <v>46269</v>
      </c>
      <c r="G591" s="10">
        <v>11190.3</v>
      </c>
      <c r="H591" s="10">
        <v>1678.54</v>
      </c>
      <c r="I591" s="10">
        <v>12868.84</v>
      </c>
      <c r="J591" s="9" t="s">
        <v>2</v>
      </c>
      <c r="K591" s="7">
        <v>46270</v>
      </c>
      <c r="L591" s="9" t="s">
        <v>3</v>
      </c>
      <c r="M591" s="11" cm="1">
        <f t="array" ref="M591">IF(Invoices[[#This Row],[Status]]="Open",MAX(0,AsOf-Invoices[[#This Row],[Due Date]]),IF(Invoices[[#This Row],[Paid Date]]="","",MAX(0,Invoices[[#This Row],[Paid Date]]-Invoices[[#This Row],[Due Date]])))</f>
        <v>1</v>
      </c>
      <c r="N59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92" spans="1:14" ht="17.100000000000001" customHeight="1" x14ac:dyDescent="0.2">
      <c r="A592" s="6" t="s">
        <v>620</v>
      </c>
      <c r="B592" s="7">
        <v>46210</v>
      </c>
      <c r="C592" s="8" t="s">
        <v>8</v>
      </c>
      <c r="D592" s="8" t="s">
        <v>6</v>
      </c>
      <c r="E592" s="9">
        <v>45</v>
      </c>
      <c r="F592" s="7">
        <v>46255</v>
      </c>
      <c r="G592" s="10">
        <v>14420.07</v>
      </c>
      <c r="H592" s="10">
        <v>2163.0100000000002</v>
      </c>
      <c r="I592" s="10">
        <v>16583.080000000002</v>
      </c>
      <c r="J592" s="9" t="s">
        <v>2</v>
      </c>
      <c r="K592" s="7">
        <v>46262</v>
      </c>
      <c r="L592" s="9" t="s">
        <v>3</v>
      </c>
      <c r="M592" s="11" cm="1">
        <f t="array" ref="M592">IF(Invoices[[#This Row],[Status]]="Open",MAX(0,AsOf-Invoices[[#This Row],[Due Date]]),IF(Invoices[[#This Row],[Paid Date]]="","",MAX(0,Invoices[[#This Row],[Paid Date]]-Invoices[[#This Row],[Due Date]])))</f>
        <v>7</v>
      </c>
      <c r="N59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93" spans="1:14" ht="17.100000000000001" customHeight="1" x14ac:dyDescent="0.2">
      <c r="A593" s="6" t="s">
        <v>621</v>
      </c>
      <c r="B593" s="7">
        <v>46211</v>
      </c>
      <c r="C593" s="8" t="s">
        <v>10</v>
      </c>
      <c r="D593" s="8" t="s">
        <v>11</v>
      </c>
      <c r="E593" s="9">
        <v>30</v>
      </c>
      <c r="F593" s="7">
        <v>46241</v>
      </c>
      <c r="G593" s="10">
        <v>2925.58</v>
      </c>
      <c r="H593" s="10">
        <v>438.84</v>
      </c>
      <c r="I593" s="10">
        <v>3364.42</v>
      </c>
      <c r="J593" s="9" t="s">
        <v>2</v>
      </c>
      <c r="K593" s="7">
        <v>46240</v>
      </c>
      <c r="L593" s="9" t="s">
        <v>3</v>
      </c>
      <c r="M593" s="11" cm="1">
        <f t="array" ref="M593">IF(Invoices[[#This Row],[Status]]="Open",MAX(0,AsOf-Invoices[[#This Row],[Due Date]]),IF(Invoices[[#This Row],[Paid Date]]="","",MAX(0,Invoices[[#This Row],[Paid Date]]-Invoices[[#This Row],[Due Date]])))</f>
        <v>0</v>
      </c>
      <c r="N59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94" spans="1:14" ht="17.100000000000001" customHeight="1" x14ac:dyDescent="0.2">
      <c r="A594" s="6" t="s">
        <v>622</v>
      </c>
      <c r="B594" s="7">
        <v>46211</v>
      </c>
      <c r="C594" s="8" t="s">
        <v>20</v>
      </c>
      <c r="D594" s="8" t="s">
        <v>21</v>
      </c>
      <c r="E594" s="9">
        <v>30</v>
      </c>
      <c r="F594" s="7">
        <v>46241</v>
      </c>
      <c r="G594" s="10">
        <v>7665.76</v>
      </c>
      <c r="H594" s="10"/>
      <c r="I594" s="10">
        <v>7665.76</v>
      </c>
      <c r="J594" s="9" t="s">
        <v>2</v>
      </c>
      <c r="K594" s="7">
        <v>46247</v>
      </c>
      <c r="L594" s="9" t="s">
        <v>3</v>
      </c>
      <c r="M594" s="11" cm="1">
        <f t="array" ref="M594">IF(Invoices[[#This Row],[Status]]="Open",MAX(0,AsOf-Invoices[[#This Row],[Due Date]]),IF(Invoices[[#This Row],[Paid Date]]="","",MAX(0,Invoices[[#This Row],[Paid Date]]-Invoices[[#This Row],[Due Date]])))</f>
        <v>6</v>
      </c>
      <c r="N59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Missing VAT</v>
      </c>
    </row>
    <row r="595" spans="1:14" ht="17.100000000000001" customHeight="1" x14ac:dyDescent="0.2">
      <c r="A595" s="6" t="s">
        <v>623</v>
      </c>
      <c r="B595" s="7">
        <v>46211</v>
      </c>
      <c r="C595" s="8" t="s">
        <v>34</v>
      </c>
      <c r="D595" s="8" t="s">
        <v>21</v>
      </c>
      <c r="E595" s="9">
        <v>30</v>
      </c>
      <c r="F595" s="7">
        <v>46241</v>
      </c>
      <c r="G595" s="10">
        <v>2571.6799999999998</v>
      </c>
      <c r="H595" s="10">
        <v>385.75</v>
      </c>
      <c r="I595" s="10">
        <v>2957.43</v>
      </c>
      <c r="J595" s="9" t="s">
        <v>2</v>
      </c>
      <c r="K595" s="7">
        <v>46246</v>
      </c>
      <c r="L595" s="9" t="s">
        <v>3</v>
      </c>
      <c r="M595" s="11" cm="1">
        <f t="array" ref="M595">IF(Invoices[[#This Row],[Status]]="Open",MAX(0,AsOf-Invoices[[#This Row],[Due Date]]),IF(Invoices[[#This Row],[Paid Date]]="","",MAX(0,Invoices[[#This Row],[Paid Date]]-Invoices[[#This Row],[Due Date]])))</f>
        <v>5</v>
      </c>
      <c r="N59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96" spans="1:14" ht="17.100000000000001" customHeight="1" x14ac:dyDescent="0.2">
      <c r="A596" s="6" t="s">
        <v>624</v>
      </c>
      <c r="B596" s="7">
        <v>46212</v>
      </c>
      <c r="C596" s="8" t="s">
        <v>34</v>
      </c>
      <c r="D596" s="8" t="s">
        <v>21</v>
      </c>
      <c r="E596" s="9">
        <v>30</v>
      </c>
      <c r="F596" s="7">
        <v>46242</v>
      </c>
      <c r="G596" s="10">
        <v>4857.3999999999996</v>
      </c>
      <c r="H596" s="10">
        <v>728.61</v>
      </c>
      <c r="I596" s="10">
        <v>5586.01</v>
      </c>
      <c r="J596" s="9" t="s">
        <v>2</v>
      </c>
      <c r="K596" s="7">
        <v>46242</v>
      </c>
      <c r="L596" s="9" t="s">
        <v>3</v>
      </c>
      <c r="M596" s="11" cm="1">
        <f t="array" ref="M596">IF(Invoices[[#This Row],[Status]]="Open",MAX(0,AsOf-Invoices[[#This Row],[Due Date]]),IF(Invoices[[#This Row],[Paid Date]]="","",MAX(0,Invoices[[#This Row],[Paid Date]]-Invoices[[#This Row],[Due Date]])))</f>
        <v>0</v>
      </c>
      <c r="N59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97" spans="1:14" ht="17.100000000000001" customHeight="1" x14ac:dyDescent="0.2">
      <c r="A597" s="6" t="s">
        <v>625</v>
      </c>
      <c r="B597" s="7">
        <v>46212</v>
      </c>
      <c r="C597" s="8" t="s">
        <v>5</v>
      </c>
      <c r="D597" s="8" t="s">
        <v>6</v>
      </c>
      <c r="E597" s="9">
        <v>45</v>
      </c>
      <c r="F597" s="7">
        <v>46257</v>
      </c>
      <c r="G597" s="10">
        <v>11351.56</v>
      </c>
      <c r="H597" s="10">
        <v>1702.73</v>
      </c>
      <c r="I597" s="10">
        <v>13054.29</v>
      </c>
      <c r="J597" s="9" t="s">
        <v>2</v>
      </c>
      <c r="K597" s="7">
        <v>46261</v>
      </c>
      <c r="L597" s="9" t="s">
        <v>3</v>
      </c>
      <c r="M597" s="11" cm="1">
        <f t="array" ref="M597">IF(Invoices[[#This Row],[Status]]="Open",MAX(0,AsOf-Invoices[[#This Row],[Due Date]]),IF(Invoices[[#This Row],[Paid Date]]="","",MAX(0,Invoices[[#This Row],[Paid Date]]-Invoices[[#This Row],[Due Date]])))</f>
        <v>4</v>
      </c>
      <c r="N59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98" spans="1:14" ht="17.100000000000001" customHeight="1" x14ac:dyDescent="0.2">
      <c r="A598" s="6" t="s">
        <v>626</v>
      </c>
      <c r="B598" s="7">
        <v>46215</v>
      </c>
      <c r="C598" s="8" t="s">
        <v>8</v>
      </c>
      <c r="D598" s="8" t="s">
        <v>6</v>
      </c>
      <c r="E598" s="9">
        <v>45</v>
      </c>
      <c r="F598" s="7">
        <v>46260</v>
      </c>
      <c r="G598" s="10">
        <v>8736.2999999999993</v>
      </c>
      <c r="H598" s="10">
        <v>1310.44</v>
      </c>
      <c r="I598" s="10">
        <v>10046.74</v>
      </c>
      <c r="J598" s="9" t="s">
        <v>2</v>
      </c>
      <c r="K598" s="7">
        <v>46273</v>
      </c>
      <c r="L598" s="9" t="s">
        <v>3</v>
      </c>
      <c r="M598" s="11" cm="1">
        <f t="array" ref="M598">IF(Invoices[[#This Row],[Status]]="Open",MAX(0,AsOf-Invoices[[#This Row],[Due Date]]),IF(Invoices[[#This Row],[Paid Date]]="","",MAX(0,Invoices[[#This Row],[Paid Date]]-Invoices[[#This Row],[Due Date]])))</f>
        <v>13</v>
      </c>
      <c r="N59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599" spans="1:14" ht="17.100000000000001" customHeight="1" x14ac:dyDescent="0.2">
      <c r="A599" s="6" t="s">
        <v>627</v>
      </c>
      <c r="B599" s="7">
        <v>46215</v>
      </c>
      <c r="C599" s="8" t="s">
        <v>13</v>
      </c>
      <c r="D599" s="8" t="s">
        <v>1</v>
      </c>
      <c r="E599" s="9">
        <v>30</v>
      </c>
      <c r="F599" s="7">
        <v>46245</v>
      </c>
      <c r="G599" s="10">
        <v>6393.63</v>
      </c>
      <c r="H599" s="10">
        <v>959.04</v>
      </c>
      <c r="I599" s="10">
        <v>7352.67</v>
      </c>
      <c r="J599" s="9" t="s">
        <v>2</v>
      </c>
      <c r="K599" s="7">
        <v>46245</v>
      </c>
      <c r="L599" s="9" t="s">
        <v>3</v>
      </c>
      <c r="M599" s="11" cm="1">
        <f t="array" ref="M599">IF(Invoices[[#This Row],[Status]]="Open",MAX(0,AsOf-Invoices[[#This Row],[Due Date]]),IF(Invoices[[#This Row],[Paid Date]]="","",MAX(0,Invoices[[#This Row],[Paid Date]]-Invoices[[#This Row],[Due Date]])))</f>
        <v>0</v>
      </c>
      <c r="N59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00" spans="1:14" ht="17.100000000000001" customHeight="1" x14ac:dyDescent="0.2">
      <c r="A600" s="6" t="s">
        <v>628</v>
      </c>
      <c r="B600" s="7">
        <v>46215</v>
      </c>
      <c r="C600" s="8" t="s">
        <v>16</v>
      </c>
      <c r="D600" s="8" t="s">
        <v>17</v>
      </c>
      <c r="E600" s="9">
        <v>30</v>
      </c>
      <c r="F600" s="7">
        <v>46245</v>
      </c>
      <c r="G600" s="10">
        <v>964.63</v>
      </c>
      <c r="H600" s="10">
        <v>144.69</v>
      </c>
      <c r="I600" s="10">
        <v>1109.32</v>
      </c>
      <c r="J600" s="9" t="s">
        <v>2</v>
      </c>
      <c r="K600" s="7">
        <v>46260</v>
      </c>
      <c r="L600" s="9" t="s">
        <v>3</v>
      </c>
      <c r="M600" s="11" cm="1">
        <f t="array" ref="M600">IF(Invoices[[#This Row],[Status]]="Open",MAX(0,AsOf-Invoices[[#This Row],[Due Date]]),IF(Invoices[[#This Row],[Paid Date]]="","",MAX(0,Invoices[[#This Row],[Paid Date]]-Invoices[[#This Row],[Due Date]])))</f>
        <v>15</v>
      </c>
      <c r="N60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01" spans="1:14" ht="17.100000000000001" customHeight="1" x14ac:dyDescent="0.2">
      <c r="A601" s="6" t="s">
        <v>629</v>
      </c>
      <c r="B601" s="7">
        <v>46216</v>
      </c>
      <c r="C601" s="8" t="s">
        <v>69</v>
      </c>
      <c r="D601" s="8" t="s">
        <v>6</v>
      </c>
      <c r="E601" s="9">
        <v>45</v>
      </c>
      <c r="F601" s="7">
        <v>46186</v>
      </c>
      <c r="G601" s="10">
        <v>7143.38</v>
      </c>
      <c r="H601" s="10">
        <v>1071.51</v>
      </c>
      <c r="I601" s="10">
        <v>8214.89</v>
      </c>
      <c r="J601" s="9" t="s">
        <v>2</v>
      </c>
      <c r="K601" s="7">
        <v>46260</v>
      </c>
      <c r="L601" s="9" t="s">
        <v>3</v>
      </c>
      <c r="M601" s="11" cm="1">
        <f t="array" ref="M601">IF(Invoices[[#This Row],[Status]]="Open",MAX(0,AsOf-Invoices[[#This Row],[Due Date]]),IF(Invoices[[#This Row],[Paid Date]]="","",MAX(0,Invoices[[#This Row],[Paid Date]]-Invoices[[#This Row],[Due Date]])))</f>
        <v>74</v>
      </c>
      <c r="N60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Due before invoice</v>
      </c>
    </row>
    <row r="602" spans="1:14" ht="17.100000000000001" customHeight="1" x14ac:dyDescent="0.2">
      <c r="A602" s="6" t="s">
        <v>630</v>
      </c>
      <c r="B602" s="7">
        <v>46216</v>
      </c>
      <c r="C602" s="8" t="s">
        <v>31</v>
      </c>
      <c r="D602" s="8" t="s">
        <v>6</v>
      </c>
      <c r="E602" s="9">
        <v>60</v>
      </c>
      <c r="F602" s="7">
        <v>46276</v>
      </c>
      <c r="G602" s="10">
        <v>9846.9699999999993</v>
      </c>
      <c r="H602" s="10">
        <v>1477.05</v>
      </c>
      <c r="I602" s="10">
        <v>11324.02</v>
      </c>
      <c r="J602" s="9" t="s">
        <v>2</v>
      </c>
      <c r="K602" s="7">
        <v>46274</v>
      </c>
      <c r="L602" s="9" t="s">
        <v>3</v>
      </c>
      <c r="M602" s="11" cm="1">
        <f t="array" ref="M602">IF(Invoices[[#This Row],[Status]]="Open",MAX(0,AsOf-Invoices[[#This Row],[Due Date]]),IF(Invoices[[#This Row],[Paid Date]]="","",MAX(0,Invoices[[#This Row],[Paid Date]]-Invoices[[#This Row],[Due Date]])))</f>
        <v>0</v>
      </c>
      <c r="N60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03" spans="1:14" ht="17.100000000000001" customHeight="1" x14ac:dyDescent="0.2">
      <c r="A603" s="6" t="s">
        <v>631</v>
      </c>
      <c r="B603" s="7">
        <v>46217</v>
      </c>
      <c r="C603" s="8" t="s">
        <v>13</v>
      </c>
      <c r="D603" s="8" t="s">
        <v>1</v>
      </c>
      <c r="E603" s="9">
        <v>30</v>
      </c>
      <c r="F603" s="7">
        <v>46247</v>
      </c>
      <c r="G603" s="10">
        <v>2200.13</v>
      </c>
      <c r="H603" s="10">
        <v>330.02</v>
      </c>
      <c r="I603" s="10">
        <v>2530.15</v>
      </c>
      <c r="J603" s="9" t="s">
        <v>2</v>
      </c>
      <c r="K603" s="7">
        <v>46242</v>
      </c>
      <c r="L603" s="9" t="s">
        <v>3</v>
      </c>
      <c r="M603" s="11" cm="1">
        <f t="array" ref="M603">IF(Invoices[[#This Row],[Status]]="Open",MAX(0,AsOf-Invoices[[#This Row],[Due Date]]),IF(Invoices[[#This Row],[Paid Date]]="","",MAX(0,Invoices[[#This Row],[Paid Date]]-Invoices[[#This Row],[Due Date]])))</f>
        <v>0</v>
      </c>
      <c r="N60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04" spans="1:14" ht="17.100000000000001" customHeight="1" x14ac:dyDescent="0.2">
      <c r="A604" s="6" t="s">
        <v>632</v>
      </c>
      <c r="B604" s="7">
        <v>46217</v>
      </c>
      <c r="C604" s="8" t="s">
        <v>5</v>
      </c>
      <c r="D604" s="8" t="s">
        <v>6</v>
      </c>
      <c r="E604" s="9">
        <v>45</v>
      </c>
      <c r="F604" s="7">
        <v>46262</v>
      </c>
      <c r="G604" s="10">
        <v>5227.8500000000004</v>
      </c>
      <c r="H604" s="10">
        <v>784.18</v>
      </c>
      <c r="I604" s="10">
        <v>6012.03</v>
      </c>
      <c r="J604" s="9" t="s">
        <v>2</v>
      </c>
      <c r="K604" s="7">
        <v>46262</v>
      </c>
      <c r="L604" s="9" t="s">
        <v>3</v>
      </c>
      <c r="M604" s="11" cm="1">
        <f t="array" ref="M604">IF(Invoices[[#This Row],[Status]]="Open",MAX(0,AsOf-Invoices[[#This Row],[Due Date]]),IF(Invoices[[#This Row],[Paid Date]]="","",MAX(0,Invoices[[#This Row],[Paid Date]]-Invoices[[#This Row],[Due Date]])))</f>
        <v>0</v>
      </c>
      <c r="N60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05" spans="1:14" ht="17.100000000000001" customHeight="1" x14ac:dyDescent="0.2">
      <c r="A605" s="6" t="s">
        <v>633</v>
      </c>
      <c r="B605" s="7">
        <v>46217</v>
      </c>
      <c r="C605" s="8" t="s">
        <v>24</v>
      </c>
      <c r="D605" s="8" t="s">
        <v>25</v>
      </c>
      <c r="E605" s="9">
        <v>60</v>
      </c>
      <c r="F605" s="7">
        <v>46277</v>
      </c>
      <c r="G605" s="10">
        <v>14154.63</v>
      </c>
      <c r="H605" s="10">
        <v>2123.19</v>
      </c>
      <c r="I605" s="10">
        <v>16277.82</v>
      </c>
      <c r="J605" s="9" t="s">
        <v>2</v>
      </c>
      <c r="K605" s="7">
        <v>46276</v>
      </c>
      <c r="L605" s="9" t="s">
        <v>3</v>
      </c>
      <c r="M605" s="11" cm="1">
        <f t="array" ref="M605">IF(Invoices[[#This Row],[Status]]="Open",MAX(0,AsOf-Invoices[[#This Row],[Due Date]]),IF(Invoices[[#This Row],[Paid Date]]="","",MAX(0,Invoices[[#This Row],[Paid Date]]-Invoices[[#This Row],[Due Date]])))</f>
        <v>0</v>
      </c>
      <c r="N60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06" spans="1:14" ht="17.100000000000001" customHeight="1" x14ac:dyDescent="0.2">
      <c r="A606" s="6" t="s">
        <v>634</v>
      </c>
      <c r="B606" s="7">
        <v>46218</v>
      </c>
      <c r="C606" s="8" t="s">
        <v>5</v>
      </c>
      <c r="D606" s="8" t="s">
        <v>6</v>
      </c>
      <c r="E606" s="9">
        <v>45</v>
      </c>
      <c r="F606" s="7">
        <v>46263</v>
      </c>
      <c r="G606" s="10">
        <v>12773.37</v>
      </c>
      <c r="H606" s="10">
        <v>1916.01</v>
      </c>
      <c r="I606" s="10">
        <v>14689.38</v>
      </c>
      <c r="J606" s="9" t="s">
        <v>2</v>
      </c>
      <c r="K606" s="7">
        <v>46260</v>
      </c>
      <c r="L606" s="9" t="s">
        <v>3</v>
      </c>
      <c r="M606" s="11" cm="1">
        <f t="array" ref="M606">IF(Invoices[[#This Row],[Status]]="Open",MAX(0,AsOf-Invoices[[#This Row],[Due Date]]),IF(Invoices[[#This Row],[Paid Date]]="","",MAX(0,Invoices[[#This Row],[Paid Date]]-Invoices[[#This Row],[Due Date]])))</f>
        <v>0</v>
      </c>
      <c r="N60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07" spans="1:14" ht="17.100000000000001" customHeight="1" x14ac:dyDescent="0.2">
      <c r="A607" s="6" t="s">
        <v>635</v>
      </c>
      <c r="B607" s="7">
        <v>46218</v>
      </c>
      <c r="C607" s="8" t="s">
        <v>5</v>
      </c>
      <c r="D607" s="8" t="s">
        <v>6</v>
      </c>
      <c r="E607" s="9">
        <v>45</v>
      </c>
      <c r="F607" s="7">
        <v>46263</v>
      </c>
      <c r="G607" s="10">
        <v>4806.7</v>
      </c>
      <c r="H607" s="10">
        <v>721</v>
      </c>
      <c r="I607" s="10">
        <v>5527.7</v>
      </c>
      <c r="J607" s="9" t="s">
        <v>2</v>
      </c>
      <c r="K607" s="7">
        <v>46265</v>
      </c>
      <c r="L607" s="9" t="s">
        <v>3</v>
      </c>
      <c r="M607" s="11" cm="1">
        <f t="array" ref="M607">IF(Invoices[[#This Row],[Status]]="Open",MAX(0,AsOf-Invoices[[#This Row],[Due Date]]),IF(Invoices[[#This Row],[Paid Date]]="","",MAX(0,Invoices[[#This Row],[Paid Date]]-Invoices[[#This Row],[Due Date]])))</f>
        <v>2</v>
      </c>
      <c r="N60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08" spans="1:14" ht="17.100000000000001" customHeight="1" x14ac:dyDescent="0.2">
      <c r="A608" s="6" t="s">
        <v>636</v>
      </c>
      <c r="B608" s="7">
        <v>46218</v>
      </c>
      <c r="C608" s="8" t="s">
        <v>95</v>
      </c>
      <c r="D608" s="8" t="s">
        <v>62</v>
      </c>
      <c r="E608" s="9">
        <v>15</v>
      </c>
      <c r="F608" s="7">
        <v>46233</v>
      </c>
      <c r="G608" s="10">
        <v>1808.53</v>
      </c>
      <c r="H608" s="10">
        <v>271.27999999999997</v>
      </c>
      <c r="I608" s="10">
        <v>2079.81</v>
      </c>
      <c r="J608" s="9" t="s">
        <v>2</v>
      </c>
      <c r="K608" s="7">
        <v>46232</v>
      </c>
      <c r="L608" s="9" t="s">
        <v>3</v>
      </c>
      <c r="M608" s="11" cm="1">
        <f t="array" ref="M608">IF(Invoices[[#This Row],[Status]]="Open",MAX(0,AsOf-Invoices[[#This Row],[Due Date]]),IF(Invoices[[#This Row],[Paid Date]]="","",MAX(0,Invoices[[#This Row],[Paid Date]]-Invoices[[#This Row],[Due Date]])))</f>
        <v>0</v>
      </c>
      <c r="N60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09" spans="1:14" ht="17.100000000000001" customHeight="1" x14ac:dyDescent="0.2">
      <c r="A609" s="6" t="s">
        <v>637</v>
      </c>
      <c r="B609" s="7">
        <v>46219</v>
      </c>
      <c r="C609" s="8" t="s">
        <v>24</v>
      </c>
      <c r="D609" s="8" t="s">
        <v>25</v>
      </c>
      <c r="E609" s="9">
        <v>60</v>
      </c>
      <c r="F609" s="7">
        <v>46219</v>
      </c>
      <c r="G609" s="10">
        <v>-2158.16</v>
      </c>
      <c r="H609" s="10">
        <v>-323.72000000000003</v>
      </c>
      <c r="I609" s="10">
        <v>-2481.88</v>
      </c>
      <c r="J609" s="9" t="s">
        <v>111</v>
      </c>
      <c r="K609" s="7"/>
      <c r="L609" s="9" t="s">
        <v>112</v>
      </c>
      <c r="M609" s="11" t="str" cm="1">
        <f t="array" ref="M609">IF(Invoices[[#This Row],[Status]]="Open",MAX(0,AsOf-Invoices[[#This Row],[Due Date]]),IF(Invoices[[#This Row],[Paid Date]]="","",MAX(0,Invoices[[#This Row],[Paid Date]]-Invoices[[#This Row],[Due Date]])))</f>
        <v/>
      </c>
      <c r="N60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10" spans="1:14" ht="17.100000000000001" customHeight="1" x14ac:dyDescent="0.2">
      <c r="A610" s="6" t="s">
        <v>638</v>
      </c>
      <c r="B610" s="7">
        <v>46219</v>
      </c>
      <c r="C610" s="8" t="s">
        <v>95</v>
      </c>
      <c r="D610" s="8" t="s">
        <v>62</v>
      </c>
      <c r="E610" s="9">
        <v>15</v>
      </c>
      <c r="F610" s="7">
        <v>46234</v>
      </c>
      <c r="G610" s="10">
        <v>1075.07</v>
      </c>
      <c r="H610" s="10">
        <v>161.26</v>
      </c>
      <c r="I610" s="10">
        <v>1236.33</v>
      </c>
      <c r="J610" s="9" t="s">
        <v>2</v>
      </c>
      <c r="K610" s="7">
        <v>46237</v>
      </c>
      <c r="L610" s="9" t="s">
        <v>3</v>
      </c>
      <c r="M610" s="11" cm="1">
        <f t="array" ref="M610">IF(Invoices[[#This Row],[Status]]="Open",MAX(0,AsOf-Invoices[[#This Row],[Due Date]]),IF(Invoices[[#This Row],[Paid Date]]="","",MAX(0,Invoices[[#This Row],[Paid Date]]-Invoices[[#This Row],[Due Date]])))</f>
        <v>3</v>
      </c>
      <c r="N61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11" spans="1:14" ht="17.100000000000001" customHeight="1" x14ac:dyDescent="0.2">
      <c r="A611" s="6" t="s">
        <v>639</v>
      </c>
      <c r="B611" s="7">
        <v>46219</v>
      </c>
      <c r="C611" s="8" t="s">
        <v>5</v>
      </c>
      <c r="D611" s="8" t="s">
        <v>6</v>
      </c>
      <c r="E611" s="9">
        <v>45</v>
      </c>
      <c r="F611" s="7">
        <v>46264</v>
      </c>
      <c r="G611" s="10">
        <v>10240.58</v>
      </c>
      <c r="H611" s="10">
        <v>1536.09</v>
      </c>
      <c r="I611" s="10">
        <v>11776.67</v>
      </c>
      <c r="J611" s="9" t="s">
        <v>2</v>
      </c>
      <c r="K611" s="7">
        <v>46264</v>
      </c>
      <c r="L611" s="9" t="s">
        <v>3</v>
      </c>
      <c r="M611" s="11" cm="1">
        <f t="array" ref="M611">IF(Invoices[[#This Row],[Status]]="Open",MAX(0,AsOf-Invoices[[#This Row],[Due Date]]),IF(Invoices[[#This Row],[Paid Date]]="","",MAX(0,Invoices[[#This Row],[Paid Date]]-Invoices[[#This Row],[Due Date]])))</f>
        <v>0</v>
      </c>
      <c r="N61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12" spans="1:14" ht="17.100000000000001" customHeight="1" x14ac:dyDescent="0.2">
      <c r="A612" s="6" t="s">
        <v>640</v>
      </c>
      <c r="B612" s="7">
        <v>46219</v>
      </c>
      <c r="C612" s="8" t="s">
        <v>89</v>
      </c>
      <c r="D612" s="8" t="s">
        <v>39</v>
      </c>
      <c r="E612" s="9">
        <v>15</v>
      </c>
      <c r="F612" s="7">
        <v>46234</v>
      </c>
      <c r="G612" s="10">
        <v>2828.9</v>
      </c>
      <c r="H612" s="10">
        <v>424.33</v>
      </c>
      <c r="I612" s="10">
        <v>3253.23</v>
      </c>
      <c r="J612" s="9" t="s">
        <v>2</v>
      </c>
      <c r="K612" s="7">
        <v>46216</v>
      </c>
      <c r="L612" s="9" t="s">
        <v>3</v>
      </c>
      <c r="M612" s="11" cm="1">
        <f t="array" ref="M612">IF(Invoices[[#This Row],[Status]]="Open",MAX(0,AsOf-Invoices[[#This Row],[Due Date]]),IF(Invoices[[#This Row],[Paid Date]]="","",MAX(0,Invoices[[#This Row],[Paid Date]]-Invoices[[#This Row],[Due Date]])))</f>
        <v>0</v>
      </c>
      <c r="N61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Paid before invoice</v>
      </c>
    </row>
    <row r="613" spans="1:14" ht="17.100000000000001" customHeight="1" x14ac:dyDescent="0.2">
      <c r="A613" s="6" t="s">
        <v>641</v>
      </c>
      <c r="B613" s="7">
        <v>46222</v>
      </c>
      <c r="C613" s="8" t="s">
        <v>31</v>
      </c>
      <c r="D613" s="8" t="s">
        <v>6</v>
      </c>
      <c r="E613" s="9">
        <v>60</v>
      </c>
      <c r="F613" s="7">
        <v>46282</v>
      </c>
      <c r="G613" s="10">
        <v>11416.34</v>
      </c>
      <c r="H613" s="10">
        <v>1712.45</v>
      </c>
      <c r="I613" s="10">
        <v>13128.79</v>
      </c>
      <c r="J613" s="9" t="s">
        <v>2</v>
      </c>
      <c r="K613" s="7">
        <v>46277</v>
      </c>
      <c r="L613" s="9" t="s">
        <v>3</v>
      </c>
      <c r="M613" s="11" cm="1">
        <f t="array" ref="M613">IF(Invoices[[#This Row],[Status]]="Open",MAX(0,AsOf-Invoices[[#This Row],[Due Date]]),IF(Invoices[[#This Row],[Paid Date]]="","",MAX(0,Invoices[[#This Row],[Paid Date]]-Invoices[[#This Row],[Due Date]])))</f>
        <v>0</v>
      </c>
      <c r="N61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14" spans="1:14" ht="17.100000000000001" customHeight="1" x14ac:dyDescent="0.2">
      <c r="A614" s="6" t="s">
        <v>642</v>
      </c>
      <c r="B614" s="7">
        <v>46222</v>
      </c>
      <c r="C614" s="8" t="s">
        <v>34</v>
      </c>
      <c r="D614" s="8" t="s">
        <v>21</v>
      </c>
      <c r="E614" s="9">
        <v>30</v>
      </c>
      <c r="F614" s="7">
        <v>46252</v>
      </c>
      <c r="G614" s="10">
        <v>3984.41</v>
      </c>
      <c r="H614" s="10">
        <v>597.66</v>
      </c>
      <c r="I614" s="10">
        <v>4582.07</v>
      </c>
      <c r="J614" s="9" t="s">
        <v>545</v>
      </c>
      <c r="K614" s="7"/>
      <c r="L614" s="9" t="s">
        <v>3</v>
      </c>
      <c r="M614" s="11" cm="1">
        <f t="array" ref="M614">IF(Invoices[[#This Row],[Status]]="Open",MAX(0,AsOf-Invoices[[#This Row],[Due Date]]),IF(Invoices[[#This Row],[Paid Date]]="","",MAX(0,Invoices[[#This Row],[Paid Date]]-Invoices[[#This Row],[Due Date]])))</f>
        <v>58</v>
      </c>
      <c r="N61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15" spans="1:14" ht="17.100000000000001" customHeight="1" x14ac:dyDescent="0.2">
      <c r="A615" s="6" t="s">
        <v>643</v>
      </c>
      <c r="B615" s="7">
        <v>46223</v>
      </c>
      <c r="C615" s="8" t="s">
        <v>5</v>
      </c>
      <c r="D615" s="8" t="s">
        <v>6</v>
      </c>
      <c r="E615" s="9">
        <v>45</v>
      </c>
      <c r="F615" s="7">
        <v>46268</v>
      </c>
      <c r="G615" s="10">
        <v>8575.6</v>
      </c>
      <c r="H615" s="10">
        <v>1286.3399999999999</v>
      </c>
      <c r="I615" s="10">
        <v>9861.94</v>
      </c>
      <c r="J615" s="9" t="s">
        <v>2</v>
      </c>
      <c r="K615" s="7">
        <v>46266</v>
      </c>
      <c r="L615" s="9" t="s">
        <v>3</v>
      </c>
      <c r="M615" s="11" cm="1">
        <f t="array" ref="M615">IF(Invoices[[#This Row],[Status]]="Open",MAX(0,AsOf-Invoices[[#This Row],[Due Date]]),IF(Invoices[[#This Row],[Paid Date]]="","",MAX(0,Invoices[[#This Row],[Paid Date]]-Invoices[[#This Row],[Due Date]])))</f>
        <v>0</v>
      </c>
      <c r="N61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16" spans="1:14" ht="17.100000000000001" customHeight="1" x14ac:dyDescent="0.2">
      <c r="A616" s="6" t="s">
        <v>644</v>
      </c>
      <c r="B616" s="7">
        <v>46223</v>
      </c>
      <c r="C616" s="8" t="s">
        <v>5</v>
      </c>
      <c r="D616" s="8" t="s">
        <v>6</v>
      </c>
      <c r="E616" s="9">
        <v>45</v>
      </c>
      <c r="F616" s="7">
        <v>46268</v>
      </c>
      <c r="G616" s="10">
        <v>12203.27</v>
      </c>
      <c r="H616" s="10">
        <v>1830.49</v>
      </c>
      <c r="I616" s="10">
        <v>14033.76</v>
      </c>
      <c r="J616" s="9" t="s">
        <v>2</v>
      </c>
      <c r="K616" s="7">
        <v>46266</v>
      </c>
      <c r="L616" s="9" t="s">
        <v>3</v>
      </c>
      <c r="M616" s="11" cm="1">
        <f t="array" ref="M616">IF(Invoices[[#This Row],[Status]]="Open",MAX(0,AsOf-Invoices[[#This Row],[Due Date]]),IF(Invoices[[#This Row],[Paid Date]]="","",MAX(0,Invoices[[#This Row],[Paid Date]]-Invoices[[#This Row],[Due Date]])))</f>
        <v>0</v>
      </c>
      <c r="N61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17" spans="1:14" ht="17.100000000000001" customHeight="1" x14ac:dyDescent="0.2">
      <c r="A617" s="6" t="s">
        <v>645</v>
      </c>
      <c r="B617" s="7">
        <v>46224</v>
      </c>
      <c r="C617" s="8" t="s">
        <v>56</v>
      </c>
      <c r="D617" s="8" t="s">
        <v>17</v>
      </c>
      <c r="E617" s="9">
        <v>30</v>
      </c>
      <c r="F617" s="7">
        <v>46254</v>
      </c>
      <c r="G617" s="10">
        <v>3163.95</v>
      </c>
      <c r="H617" s="10">
        <v>474.59</v>
      </c>
      <c r="I617" s="10">
        <v>3638.54</v>
      </c>
      <c r="J617" s="9" t="s">
        <v>2</v>
      </c>
      <c r="K617" s="7">
        <v>46256</v>
      </c>
      <c r="L617" s="9" t="s">
        <v>3</v>
      </c>
      <c r="M617" s="11" cm="1">
        <f t="array" ref="M617">IF(Invoices[[#This Row],[Status]]="Open",MAX(0,AsOf-Invoices[[#This Row],[Due Date]]),IF(Invoices[[#This Row],[Paid Date]]="","",MAX(0,Invoices[[#This Row],[Paid Date]]-Invoices[[#This Row],[Due Date]])))</f>
        <v>2</v>
      </c>
      <c r="N61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18" spans="1:14" ht="17.100000000000001" customHeight="1" x14ac:dyDescent="0.2">
      <c r="A618" s="6" t="s">
        <v>646</v>
      </c>
      <c r="B618" s="7">
        <v>46224</v>
      </c>
      <c r="C618" s="8" t="s">
        <v>31</v>
      </c>
      <c r="D618" s="8" t="s">
        <v>6</v>
      </c>
      <c r="E618" s="9">
        <v>60</v>
      </c>
      <c r="F618" s="7">
        <v>46284</v>
      </c>
      <c r="G618" s="10">
        <v>6897.47</v>
      </c>
      <c r="H618" s="10">
        <v>1034.6199999999999</v>
      </c>
      <c r="I618" s="10">
        <v>7932.09</v>
      </c>
      <c r="J618" s="9" t="s">
        <v>2</v>
      </c>
      <c r="K618" s="7">
        <v>46284</v>
      </c>
      <c r="L618" s="9" t="s">
        <v>3</v>
      </c>
      <c r="M618" s="11" cm="1">
        <f t="array" ref="M618">IF(Invoices[[#This Row],[Status]]="Open",MAX(0,AsOf-Invoices[[#This Row],[Due Date]]),IF(Invoices[[#This Row],[Paid Date]]="","",MAX(0,Invoices[[#This Row],[Paid Date]]-Invoices[[#This Row],[Due Date]])))</f>
        <v>0</v>
      </c>
      <c r="N61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19" spans="1:14" ht="17.100000000000001" customHeight="1" x14ac:dyDescent="0.2">
      <c r="A619" s="6" t="s">
        <v>647</v>
      </c>
      <c r="B619" s="7">
        <v>46226</v>
      </c>
      <c r="C619" s="8" t="s">
        <v>13</v>
      </c>
      <c r="D619" s="8" t="s">
        <v>1</v>
      </c>
      <c r="E619" s="9">
        <v>30</v>
      </c>
      <c r="F619" s="7">
        <v>46256</v>
      </c>
      <c r="G619" s="10">
        <v>2002.62</v>
      </c>
      <c r="H619" s="10">
        <v>300.39</v>
      </c>
      <c r="I619" s="10">
        <v>2303.0100000000002</v>
      </c>
      <c r="J619" s="9" t="s">
        <v>2</v>
      </c>
      <c r="K619" s="7">
        <v>46258</v>
      </c>
      <c r="L619" s="9" t="s">
        <v>3</v>
      </c>
      <c r="M619" s="11" cm="1">
        <f t="array" ref="M619">IF(Invoices[[#This Row],[Status]]="Open",MAX(0,AsOf-Invoices[[#This Row],[Due Date]]),IF(Invoices[[#This Row],[Paid Date]]="","",MAX(0,Invoices[[#This Row],[Paid Date]]-Invoices[[#This Row],[Due Date]])))</f>
        <v>2</v>
      </c>
      <c r="N61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20" spans="1:14" ht="17.100000000000001" customHeight="1" x14ac:dyDescent="0.2">
      <c r="A620" s="6" t="s">
        <v>648</v>
      </c>
      <c r="B620" s="7">
        <v>46226</v>
      </c>
      <c r="C620" s="8" t="s">
        <v>24</v>
      </c>
      <c r="D620" s="8" t="s">
        <v>25</v>
      </c>
      <c r="E620" s="9">
        <v>60</v>
      </c>
      <c r="F620" s="7">
        <v>46286</v>
      </c>
      <c r="G620" s="10">
        <v>4332.82</v>
      </c>
      <c r="H620" s="10">
        <v>649.91999999999996</v>
      </c>
      <c r="I620" s="10">
        <v>4982.74</v>
      </c>
      <c r="J620" s="9" t="s">
        <v>2</v>
      </c>
      <c r="K620" s="7">
        <v>46287</v>
      </c>
      <c r="L620" s="9" t="s">
        <v>3</v>
      </c>
      <c r="M620" s="11" cm="1">
        <f t="array" ref="M620">IF(Invoices[[#This Row],[Status]]="Open",MAX(0,AsOf-Invoices[[#This Row],[Due Date]]),IF(Invoices[[#This Row],[Paid Date]]="","",MAX(0,Invoices[[#This Row],[Paid Date]]-Invoices[[#This Row],[Due Date]])))</f>
        <v>1</v>
      </c>
      <c r="N62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21" spans="1:14" ht="17.100000000000001" customHeight="1" x14ac:dyDescent="0.2">
      <c r="A621" s="6" t="s">
        <v>649</v>
      </c>
      <c r="B621" s="7">
        <v>46226</v>
      </c>
      <c r="C621" s="8" t="s">
        <v>5</v>
      </c>
      <c r="D621" s="8" t="s">
        <v>6</v>
      </c>
      <c r="E621" s="9">
        <v>45</v>
      </c>
      <c r="F621" s="7">
        <v>46271</v>
      </c>
      <c r="G621" s="10">
        <v>9590.01</v>
      </c>
      <c r="H621" s="10">
        <v>1438.5</v>
      </c>
      <c r="I621" s="10">
        <v>11028.51</v>
      </c>
      <c r="J621" s="9" t="s">
        <v>2</v>
      </c>
      <c r="K621" s="7">
        <v>46267</v>
      </c>
      <c r="L621" s="9" t="s">
        <v>3</v>
      </c>
      <c r="M621" s="11" cm="1">
        <f t="array" ref="M621">IF(Invoices[[#This Row],[Status]]="Open",MAX(0,AsOf-Invoices[[#This Row],[Due Date]]),IF(Invoices[[#This Row],[Paid Date]]="","",MAX(0,Invoices[[#This Row],[Paid Date]]-Invoices[[#This Row],[Due Date]])))</f>
        <v>0</v>
      </c>
      <c r="N62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22" spans="1:14" ht="17.100000000000001" customHeight="1" x14ac:dyDescent="0.2">
      <c r="A622" s="6" t="s">
        <v>650</v>
      </c>
      <c r="B622" s="7">
        <v>46229</v>
      </c>
      <c r="C622" s="8" t="s">
        <v>5</v>
      </c>
      <c r="D622" s="8" t="s">
        <v>6</v>
      </c>
      <c r="E622" s="9">
        <v>45</v>
      </c>
      <c r="F622" s="7">
        <v>46229</v>
      </c>
      <c r="G622" s="10">
        <v>-12203.27</v>
      </c>
      <c r="H622" s="10">
        <v>-1830.49</v>
      </c>
      <c r="I622" s="10">
        <v>-14033.76</v>
      </c>
      <c r="J622" s="9" t="s">
        <v>111</v>
      </c>
      <c r="K622" s="7"/>
      <c r="L622" s="9" t="s">
        <v>112</v>
      </c>
      <c r="M622" s="11" t="str" cm="1">
        <f t="array" ref="M622">IF(Invoices[[#This Row],[Status]]="Open",MAX(0,AsOf-Invoices[[#This Row],[Due Date]]),IF(Invoices[[#This Row],[Paid Date]]="","",MAX(0,Invoices[[#This Row],[Paid Date]]-Invoices[[#This Row],[Due Date]])))</f>
        <v/>
      </c>
      <c r="N62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23" spans="1:14" ht="17.100000000000001" customHeight="1" x14ac:dyDescent="0.2">
      <c r="A623" s="6" t="s">
        <v>651</v>
      </c>
      <c r="B623" s="7">
        <v>46229</v>
      </c>
      <c r="C623" s="8" t="s">
        <v>54</v>
      </c>
      <c r="D623" s="8" t="s">
        <v>11</v>
      </c>
      <c r="E623" s="9">
        <v>30</v>
      </c>
      <c r="F623" s="7">
        <v>46259</v>
      </c>
      <c r="G623" s="10">
        <v>7436.36</v>
      </c>
      <c r="H623" s="10">
        <v>1115.45</v>
      </c>
      <c r="I623" s="10">
        <v>8551.81</v>
      </c>
      <c r="J623" s="9" t="s">
        <v>2</v>
      </c>
      <c r="K623" s="7">
        <v>46297</v>
      </c>
      <c r="L623" s="9" t="s">
        <v>3</v>
      </c>
      <c r="M623" s="11" cm="1">
        <f t="array" ref="M623">IF(Invoices[[#This Row],[Status]]="Open",MAX(0,AsOf-Invoices[[#This Row],[Due Date]]),IF(Invoices[[#This Row],[Paid Date]]="","",MAX(0,Invoices[[#This Row],[Paid Date]]-Invoices[[#This Row],[Due Date]])))</f>
        <v>38</v>
      </c>
      <c r="N62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24" spans="1:14" ht="17.100000000000001" customHeight="1" x14ac:dyDescent="0.2">
      <c r="A624" s="6" t="s">
        <v>652</v>
      </c>
      <c r="B624" s="7">
        <v>46229</v>
      </c>
      <c r="C624" s="8" t="s">
        <v>31</v>
      </c>
      <c r="D624" s="8" t="s">
        <v>6</v>
      </c>
      <c r="E624" s="9">
        <v>60</v>
      </c>
      <c r="F624" s="7">
        <v>46289</v>
      </c>
      <c r="G624" s="10">
        <v>11225.49</v>
      </c>
      <c r="H624" s="10">
        <v>1683.82</v>
      </c>
      <c r="I624" s="10">
        <v>12909.31</v>
      </c>
      <c r="J624" s="9" t="s">
        <v>2</v>
      </c>
      <c r="K624" s="7">
        <v>46289</v>
      </c>
      <c r="L624" s="9" t="s">
        <v>3</v>
      </c>
      <c r="M624" s="11" cm="1">
        <f t="array" ref="M624">IF(Invoices[[#This Row],[Status]]="Open",MAX(0,AsOf-Invoices[[#This Row],[Due Date]]),IF(Invoices[[#This Row],[Paid Date]]="","",MAX(0,Invoices[[#This Row],[Paid Date]]-Invoices[[#This Row],[Due Date]])))</f>
        <v>0</v>
      </c>
      <c r="N62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25" spans="1:14" ht="17.100000000000001" customHeight="1" x14ac:dyDescent="0.2">
      <c r="A625" s="6" t="s">
        <v>653</v>
      </c>
      <c r="B625" s="7">
        <v>46229</v>
      </c>
      <c r="C625" s="8" t="s">
        <v>45</v>
      </c>
      <c r="D625" s="8" t="s">
        <v>17</v>
      </c>
      <c r="E625" s="9">
        <v>30</v>
      </c>
      <c r="F625" s="7">
        <v>46259</v>
      </c>
      <c r="G625" s="10">
        <v>2724.63</v>
      </c>
      <c r="H625" s="10">
        <v>408.69</v>
      </c>
      <c r="I625" s="10">
        <v>3133.32</v>
      </c>
      <c r="J625" s="9" t="s">
        <v>2</v>
      </c>
      <c r="K625" s="7">
        <v>46265</v>
      </c>
      <c r="L625" s="9" t="s">
        <v>3</v>
      </c>
      <c r="M625" s="11" cm="1">
        <f t="array" ref="M625">IF(Invoices[[#This Row],[Status]]="Open",MAX(0,AsOf-Invoices[[#This Row],[Due Date]]),IF(Invoices[[#This Row],[Paid Date]]="","",MAX(0,Invoices[[#This Row],[Paid Date]]-Invoices[[#This Row],[Due Date]])))</f>
        <v>6</v>
      </c>
      <c r="N62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26" spans="1:14" ht="17.100000000000001" customHeight="1" x14ac:dyDescent="0.2">
      <c r="A626" s="6" t="s">
        <v>654</v>
      </c>
      <c r="B626" s="7">
        <v>46230</v>
      </c>
      <c r="C626" s="8" t="s">
        <v>31</v>
      </c>
      <c r="D626" s="8" t="s">
        <v>6</v>
      </c>
      <c r="E626" s="9">
        <v>60</v>
      </c>
      <c r="F626" s="7">
        <v>46290</v>
      </c>
      <c r="G626" s="10">
        <v>7000.77</v>
      </c>
      <c r="H626" s="10">
        <v>1050.1199999999999</v>
      </c>
      <c r="I626" s="10">
        <v>8050.89</v>
      </c>
      <c r="J626" s="9" t="s">
        <v>2</v>
      </c>
      <c r="K626" s="7">
        <v>46285</v>
      </c>
      <c r="L626" s="9" t="s">
        <v>3</v>
      </c>
      <c r="M626" s="11" cm="1">
        <f t="array" ref="M626">IF(Invoices[[#This Row],[Status]]="Open",MAX(0,AsOf-Invoices[[#This Row],[Due Date]]),IF(Invoices[[#This Row],[Paid Date]]="","",MAX(0,Invoices[[#This Row],[Paid Date]]-Invoices[[#This Row],[Due Date]])))</f>
        <v>0</v>
      </c>
      <c r="N62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27" spans="1:14" ht="17.100000000000001" customHeight="1" x14ac:dyDescent="0.2">
      <c r="A627" s="6" t="s">
        <v>655</v>
      </c>
      <c r="B627" s="7">
        <v>46230</v>
      </c>
      <c r="C627" s="8" t="s">
        <v>5</v>
      </c>
      <c r="D627" s="8" t="s">
        <v>6</v>
      </c>
      <c r="E627" s="9">
        <v>45</v>
      </c>
      <c r="F627" s="7">
        <v>46275</v>
      </c>
      <c r="G627" s="10">
        <v>5542.52</v>
      </c>
      <c r="H627" s="10">
        <v>831.38</v>
      </c>
      <c r="I627" s="10">
        <v>6373.9</v>
      </c>
      <c r="J627" s="9" t="s">
        <v>2</v>
      </c>
      <c r="K627" s="7">
        <v>46273</v>
      </c>
      <c r="L627" s="9" t="s">
        <v>3</v>
      </c>
      <c r="M627" s="11" cm="1">
        <f t="array" ref="M627">IF(Invoices[[#This Row],[Status]]="Open",MAX(0,AsOf-Invoices[[#This Row],[Due Date]]),IF(Invoices[[#This Row],[Paid Date]]="","",MAX(0,Invoices[[#This Row],[Paid Date]]-Invoices[[#This Row],[Due Date]])))</f>
        <v>0</v>
      </c>
      <c r="N62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28" spans="1:14" ht="17.100000000000001" customHeight="1" x14ac:dyDescent="0.2">
      <c r="A628" s="6" t="s">
        <v>656</v>
      </c>
      <c r="B628" s="7">
        <v>46231</v>
      </c>
      <c r="C628" s="8" t="s">
        <v>89</v>
      </c>
      <c r="D628" s="8" t="s">
        <v>39</v>
      </c>
      <c r="E628" s="9">
        <v>15</v>
      </c>
      <c r="F628" s="7">
        <v>46246</v>
      </c>
      <c r="G628" s="10">
        <v>2260.29</v>
      </c>
      <c r="H628" s="10">
        <v>339.04</v>
      </c>
      <c r="I628" s="10">
        <v>2599.33</v>
      </c>
      <c r="J628" s="9" t="s">
        <v>2</v>
      </c>
      <c r="K628" s="7">
        <v>46241</v>
      </c>
      <c r="L628" s="9" t="s">
        <v>3</v>
      </c>
      <c r="M628" s="11" cm="1">
        <f t="array" ref="M628">IF(Invoices[[#This Row],[Status]]="Open",MAX(0,AsOf-Invoices[[#This Row],[Due Date]]),IF(Invoices[[#This Row],[Paid Date]]="","",MAX(0,Invoices[[#This Row],[Paid Date]]-Invoices[[#This Row],[Due Date]])))</f>
        <v>0</v>
      </c>
      <c r="N62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29" spans="1:14" ht="17.100000000000001" customHeight="1" x14ac:dyDescent="0.2">
      <c r="A629" s="6" t="s">
        <v>657</v>
      </c>
      <c r="B629" s="7">
        <v>46232</v>
      </c>
      <c r="C629" s="8" t="s">
        <v>31</v>
      </c>
      <c r="D629" s="8" t="s">
        <v>6</v>
      </c>
      <c r="E629" s="9">
        <v>60</v>
      </c>
      <c r="F629" s="7">
        <v>46292</v>
      </c>
      <c r="G629" s="10">
        <v>10678.45</v>
      </c>
      <c r="H629" s="10">
        <v>1601.77</v>
      </c>
      <c r="I629" s="10">
        <v>12280.22</v>
      </c>
      <c r="J629" s="9" t="s">
        <v>2</v>
      </c>
      <c r="K629" s="7">
        <v>46292</v>
      </c>
      <c r="L629" s="9" t="s">
        <v>3</v>
      </c>
      <c r="M629" s="11" cm="1">
        <f t="array" ref="M629">IF(Invoices[[#This Row],[Status]]="Open",MAX(0,AsOf-Invoices[[#This Row],[Due Date]]),IF(Invoices[[#This Row],[Paid Date]]="","",MAX(0,Invoices[[#This Row],[Paid Date]]-Invoices[[#This Row],[Due Date]])))</f>
        <v>0</v>
      </c>
      <c r="N62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30" spans="1:14" ht="17.100000000000001" customHeight="1" x14ac:dyDescent="0.2">
      <c r="A630" s="6" t="s">
        <v>658</v>
      </c>
      <c r="B630" s="7">
        <v>46232</v>
      </c>
      <c r="C630" s="8" t="s">
        <v>10</v>
      </c>
      <c r="D630" s="8" t="s">
        <v>11</v>
      </c>
      <c r="E630" s="9">
        <v>30</v>
      </c>
      <c r="F630" s="7">
        <v>46262</v>
      </c>
      <c r="G630" s="10">
        <v>3813.52</v>
      </c>
      <c r="H630" s="10">
        <v>572.03</v>
      </c>
      <c r="I630" s="10">
        <v>4385.55</v>
      </c>
      <c r="J630" s="9" t="s">
        <v>2</v>
      </c>
      <c r="K630" s="7">
        <v>46265</v>
      </c>
      <c r="L630" s="9" t="s">
        <v>3</v>
      </c>
      <c r="M630" s="11" cm="1">
        <f t="array" ref="M630">IF(Invoices[[#This Row],[Status]]="Open",MAX(0,AsOf-Invoices[[#This Row],[Due Date]]),IF(Invoices[[#This Row],[Paid Date]]="","",MAX(0,Invoices[[#This Row],[Paid Date]]-Invoices[[#This Row],[Due Date]])))</f>
        <v>3</v>
      </c>
      <c r="N63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31" spans="1:14" ht="17.100000000000001" customHeight="1" x14ac:dyDescent="0.2">
      <c r="A631" s="6" t="s">
        <v>659</v>
      </c>
      <c r="B631" s="7">
        <v>46233</v>
      </c>
      <c r="C631" s="8" t="s">
        <v>8</v>
      </c>
      <c r="D631" s="8" t="s">
        <v>6</v>
      </c>
      <c r="E631" s="9">
        <v>45</v>
      </c>
      <c r="F631" s="7">
        <v>46278</v>
      </c>
      <c r="G631" s="10">
        <v>12655</v>
      </c>
      <c r="H631" s="10">
        <v>1898.25</v>
      </c>
      <c r="I631" s="10">
        <v>14553.25</v>
      </c>
      <c r="J631" s="9" t="s">
        <v>2</v>
      </c>
      <c r="K631" s="7">
        <v>46282</v>
      </c>
      <c r="L631" s="9" t="s">
        <v>3</v>
      </c>
      <c r="M631" s="11" cm="1">
        <f t="array" ref="M631">IF(Invoices[[#This Row],[Status]]="Open",MAX(0,AsOf-Invoices[[#This Row],[Due Date]]),IF(Invoices[[#This Row],[Paid Date]]="","",MAX(0,Invoices[[#This Row],[Paid Date]]-Invoices[[#This Row],[Due Date]])))</f>
        <v>4</v>
      </c>
      <c r="N63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32" spans="1:14" ht="17.100000000000001" customHeight="1" x14ac:dyDescent="0.2">
      <c r="A632" s="6" t="s">
        <v>660</v>
      </c>
      <c r="B632" s="7">
        <v>46233</v>
      </c>
      <c r="C632" s="8" t="s">
        <v>10</v>
      </c>
      <c r="D632" s="8" t="s">
        <v>11</v>
      </c>
      <c r="E632" s="9">
        <v>30</v>
      </c>
      <c r="F632" s="7">
        <v>46263</v>
      </c>
      <c r="G632" s="10">
        <v>6024.73</v>
      </c>
      <c r="H632" s="10">
        <v>903.71</v>
      </c>
      <c r="I632" s="10">
        <v>6928.44</v>
      </c>
      <c r="J632" s="9" t="s">
        <v>2</v>
      </c>
      <c r="K632" s="7">
        <v>46263</v>
      </c>
      <c r="L632" s="9" t="s">
        <v>3</v>
      </c>
      <c r="M632" s="11" cm="1">
        <f t="array" ref="M632">IF(Invoices[[#This Row],[Status]]="Open",MAX(0,AsOf-Invoices[[#This Row],[Due Date]]),IF(Invoices[[#This Row],[Paid Date]]="","",MAX(0,Invoices[[#This Row],[Paid Date]]-Invoices[[#This Row],[Due Date]])))</f>
        <v>0</v>
      </c>
      <c r="N63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33" spans="1:14" ht="17.100000000000001" customHeight="1" x14ac:dyDescent="0.2">
      <c r="A633" s="6" t="s">
        <v>661</v>
      </c>
      <c r="B633" s="7">
        <v>46236</v>
      </c>
      <c r="C633" s="8" t="s">
        <v>54</v>
      </c>
      <c r="D633" s="8" t="s">
        <v>11</v>
      </c>
      <c r="E633" s="9">
        <v>30</v>
      </c>
      <c r="F633" s="7">
        <v>46266</v>
      </c>
      <c r="G633" s="10">
        <v>7503.05</v>
      </c>
      <c r="H633" s="10">
        <v>1125.46</v>
      </c>
      <c r="I633" s="10">
        <v>8628.51</v>
      </c>
      <c r="J633" s="9" t="s">
        <v>2</v>
      </c>
      <c r="K633" s="7">
        <v>46269</v>
      </c>
      <c r="L633" s="9" t="s">
        <v>3</v>
      </c>
      <c r="M633" s="11" cm="1">
        <f t="array" ref="M633">IF(Invoices[[#This Row],[Status]]="Open",MAX(0,AsOf-Invoices[[#This Row],[Due Date]]),IF(Invoices[[#This Row],[Paid Date]]="","",MAX(0,Invoices[[#This Row],[Paid Date]]-Invoices[[#This Row],[Due Date]])))</f>
        <v>3</v>
      </c>
      <c r="N63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34" spans="1:14" ht="17.100000000000001" customHeight="1" x14ac:dyDescent="0.2">
      <c r="A634" s="6" t="s">
        <v>662</v>
      </c>
      <c r="B634" s="7">
        <v>46236</v>
      </c>
      <c r="C634" s="8" t="s">
        <v>69</v>
      </c>
      <c r="D634" s="8" t="s">
        <v>6</v>
      </c>
      <c r="E634" s="9">
        <v>45</v>
      </c>
      <c r="F634" s="7">
        <v>46281</v>
      </c>
      <c r="G634" s="10">
        <v>23239.34</v>
      </c>
      <c r="H634" s="10">
        <v>3485.9</v>
      </c>
      <c r="I634" s="10">
        <v>26725.24</v>
      </c>
      <c r="J634" s="9" t="s">
        <v>2</v>
      </c>
      <c r="K634" s="7">
        <v>46283</v>
      </c>
      <c r="L634" s="9" t="s">
        <v>3</v>
      </c>
      <c r="M634" s="11" cm="1">
        <f t="array" ref="M634">IF(Invoices[[#This Row],[Status]]="Open",MAX(0,AsOf-Invoices[[#This Row],[Due Date]]),IF(Invoices[[#This Row],[Paid Date]]="","",MAX(0,Invoices[[#This Row],[Paid Date]]-Invoices[[#This Row],[Due Date]])))</f>
        <v>2</v>
      </c>
      <c r="N63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35" spans="1:14" ht="17.100000000000001" customHeight="1" x14ac:dyDescent="0.2">
      <c r="A635" s="6" t="s">
        <v>663</v>
      </c>
      <c r="B635" s="7">
        <v>46237</v>
      </c>
      <c r="C635" s="8" t="s">
        <v>10</v>
      </c>
      <c r="D635" s="8" t="s">
        <v>11</v>
      </c>
      <c r="E635" s="9">
        <v>30</v>
      </c>
      <c r="F635" s="7">
        <v>46267</v>
      </c>
      <c r="G635" s="10">
        <v>5032.95</v>
      </c>
      <c r="H635" s="10">
        <v>754.94</v>
      </c>
      <c r="I635" s="10">
        <v>5787.89</v>
      </c>
      <c r="J635" s="9" t="s">
        <v>2</v>
      </c>
      <c r="K635" s="7">
        <v>46272</v>
      </c>
      <c r="L635" s="9" t="s">
        <v>3</v>
      </c>
      <c r="M635" s="11" cm="1">
        <f t="array" ref="M635">IF(Invoices[[#This Row],[Status]]="Open",MAX(0,AsOf-Invoices[[#This Row],[Due Date]]),IF(Invoices[[#This Row],[Paid Date]]="","",MAX(0,Invoices[[#This Row],[Paid Date]]-Invoices[[#This Row],[Due Date]])))</f>
        <v>5</v>
      </c>
      <c r="N63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36" spans="1:14" ht="17.100000000000001" customHeight="1" x14ac:dyDescent="0.2">
      <c r="A636" s="6" t="s">
        <v>664</v>
      </c>
      <c r="B636" s="7">
        <v>46237</v>
      </c>
      <c r="C636" s="8" t="s">
        <v>31</v>
      </c>
      <c r="D636" s="8" t="s">
        <v>6</v>
      </c>
      <c r="E636" s="9">
        <v>60</v>
      </c>
      <c r="F636" s="7">
        <v>46297</v>
      </c>
      <c r="G636" s="10">
        <v>10551.35</v>
      </c>
      <c r="H636" s="10">
        <v>1582.7</v>
      </c>
      <c r="I636" s="10">
        <v>12134.05</v>
      </c>
      <c r="J636" s="9" t="s">
        <v>2</v>
      </c>
      <c r="K636" s="7">
        <v>46297</v>
      </c>
      <c r="L636" s="9" t="s">
        <v>3</v>
      </c>
      <c r="M636" s="11" cm="1">
        <f t="array" ref="M636">IF(Invoices[[#This Row],[Status]]="Open",MAX(0,AsOf-Invoices[[#This Row],[Due Date]]),IF(Invoices[[#This Row],[Paid Date]]="","",MAX(0,Invoices[[#This Row],[Paid Date]]-Invoices[[#This Row],[Due Date]])))</f>
        <v>0</v>
      </c>
      <c r="N63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37" spans="1:14" ht="17.100000000000001" customHeight="1" x14ac:dyDescent="0.2">
      <c r="A637" s="6" t="s">
        <v>665</v>
      </c>
      <c r="B637" s="7">
        <v>46237</v>
      </c>
      <c r="C637" s="8" t="s">
        <v>31</v>
      </c>
      <c r="D637" s="8" t="s">
        <v>6</v>
      </c>
      <c r="E637" s="9">
        <v>60</v>
      </c>
      <c r="F637" s="7">
        <v>46297</v>
      </c>
      <c r="G637" s="10">
        <v>12249.38</v>
      </c>
      <c r="H637" s="10">
        <v>1837.41</v>
      </c>
      <c r="I637" s="10">
        <v>14086.79</v>
      </c>
      <c r="J637" s="9" t="s">
        <v>2</v>
      </c>
      <c r="K637" s="7">
        <v>46297</v>
      </c>
      <c r="L637" s="9" t="s">
        <v>3</v>
      </c>
      <c r="M637" s="11" cm="1">
        <f t="array" ref="M637">IF(Invoices[[#This Row],[Status]]="Open",MAX(0,AsOf-Invoices[[#This Row],[Due Date]]),IF(Invoices[[#This Row],[Paid Date]]="","",MAX(0,Invoices[[#This Row],[Paid Date]]-Invoices[[#This Row],[Due Date]])))</f>
        <v>0</v>
      </c>
      <c r="N63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38" spans="1:14" ht="17.100000000000001" customHeight="1" x14ac:dyDescent="0.2">
      <c r="A638" s="6" t="s">
        <v>666</v>
      </c>
      <c r="B638" s="7">
        <v>46237</v>
      </c>
      <c r="C638" s="8" t="s">
        <v>13</v>
      </c>
      <c r="D638" s="8" t="s">
        <v>1</v>
      </c>
      <c r="E638" s="9">
        <v>30</v>
      </c>
      <c r="F638" s="7">
        <v>46267</v>
      </c>
      <c r="G638" s="10">
        <v>1884.06</v>
      </c>
      <c r="H638" s="10">
        <v>282.61</v>
      </c>
      <c r="I638" s="10">
        <v>2166.67</v>
      </c>
      <c r="J638" s="9" t="s">
        <v>2</v>
      </c>
      <c r="K638" s="7">
        <v>46268</v>
      </c>
      <c r="L638" s="9" t="s">
        <v>3</v>
      </c>
      <c r="M638" s="11" cm="1">
        <f t="array" ref="M638">IF(Invoices[[#This Row],[Status]]="Open",MAX(0,AsOf-Invoices[[#This Row],[Due Date]]),IF(Invoices[[#This Row],[Paid Date]]="","",MAX(0,Invoices[[#This Row],[Paid Date]]-Invoices[[#This Row],[Due Date]])))</f>
        <v>1</v>
      </c>
      <c r="N63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39" spans="1:14" ht="17.100000000000001" customHeight="1" x14ac:dyDescent="0.2">
      <c r="A639" s="6" t="s">
        <v>667</v>
      </c>
      <c r="B639" s="7">
        <v>46238</v>
      </c>
      <c r="C639" s="8" t="s">
        <v>16</v>
      </c>
      <c r="D639" s="8" t="s">
        <v>17</v>
      </c>
      <c r="E639" s="9">
        <v>30</v>
      </c>
      <c r="F639" s="7">
        <v>46268</v>
      </c>
      <c r="G639" s="10">
        <v>2823.28</v>
      </c>
      <c r="H639" s="10">
        <v>423.49</v>
      </c>
      <c r="I639" s="10">
        <v>3246.77</v>
      </c>
      <c r="J639" s="9" t="s">
        <v>2</v>
      </c>
      <c r="K639" s="7">
        <v>46275</v>
      </c>
      <c r="L639" s="9" t="s">
        <v>3</v>
      </c>
      <c r="M639" s="11" cm="1">
        <f t="array" ref="M639">IF(Invoices[[#This Row],[Status]]="Open",MAX(0,AsOf-Invoices[[#This Row],[Due Date]]),IF(Invoices[[#This Row],[Paid Date]]="","",MAX(0,Invoices[[#This Row],[Paid Date]]-Invoices[[#This Row],[Due Date]])))</f>
        <v>7</v>
      </c>
      <c r="N63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40" spans="1:14" ht="17.100000000000001" customHeight="1" x14ac:dyDescent="0.2">
      <c r="A640" s="6" t="s">
        <v>668</v>
      </c>
      <c r="B640" s="7">
        <v>46238</v>
      </c>
      <c r="C640" s="8" t="s">
        <v>5</v>
      </c>
      <c r="D640" s="8" t="s">
        <v>6</v>
      </c>
      <c r="E640" s="9">
        <v>45</v>
      </c>
      <c r="F640" s="7">
        <v>46283</v>
      </c>
      <c r="G640" s="10">
        <v>13096</v>
      </c>
      <c r="H640" s="10">
        <v>1964.4</v>
      </c>
      <c r="I640" s="10">
        <v>15060.4</v>
      </c>
      <c r="J640" s="9" t="s">
        <v>2</v>
      </c>
      <c r="K640" s="7">
        <v>46290</v>
      </c>
      <c r="L640" s="9" t="s">
        <v>3</v>
      </c>
      <c r="M640" s="11" cm="1">
        <f t="array" ref="M640">IF(Invoices[[#This Row],[Status]]="Open",MAX(0,AsOf-Invoices[[#This Row],[Due Date]]),IF(Invoices[[#This Row],[Paid Date]]="","",MAX(0,Invoices[[#This Row],[Paid Date]]-Invoices[[#This Row],[Due Date]])))</f>
        <v>7</v>
      </c>
      <c r="N64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41" spans="1:14" ht="17.100000000000001" customHeight="1" x14ac:dyDescent="0.2">
      <c r="A641" s="6" t="s">
        <v>669</v>
      </c>
      <c r="B641" s="7">
        <v>46238</v>
      </c>
      <c r="C641" s="8" t="s">
        <v>61</v>
      </c>
      <c r="D641" s="8" t="s">
        <v>62</v>
      </c>
      <c r="E641" s="9">
        <v>15</v>
      </c>
      <c r="F641" s="7">
        <v>46253</v>
      </c>
      <c r="G641" s="10">
        <v>2450.0500000000002</v>
      </c>
      <c r="H641" s="10">
        <v>367.51</v>
      </c>
      <c r="I641" s="10">
        <v>2817.56</v>
      </c>
      <c r="J641" s="9" t="s">
        <v>2</v>
      </c>
      <c r="K641" s="7">
        <v>46249</v>
      </c>
      <c r="L641" s="9" t="s">
        <v>3</v>
      </c>
      <c r="M641" s="11" cm="1">
        <f t="array" ref="M641">IF(Invoices[[#This Row],[Status]]="Open",MAX(0,AsOf-Invoices[[#This Row],[Due Date]]),IF(Invoices[[#This Row],[Paid Date]]="","",MAX(0,Invoices[[#This Row],[Paid Date]]-Invoices[[#This Row],[Due Date]])))</f>
        <v>0</v>
      </c>
      <c r="N64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42" spans="1:14" ht="17.100000000000001" customHeight="1" x14ac:dyDescent="0.2">
      <c r="A642" s="6" t="s">
        <v>670</v>
      </c>
      <c r="B642" s="7">
        <v>46239</v>
      </c>
      <c r="C642" s="8" t="s">
        <v>20</v>
      </c>
      <c r="D642" s="8" t="s">
        <v>21</v>
      </c>
      <c r="E642" s="9">
        <v>30</v>
      </c>
      <c r="F642" s="7">
        <v>46269</v>
      </c>
      <c r="G642" s="10">
        <v>5801.78</v>
      </c>
      <c r="H642" s="10">
        <v>870.27</v>
      </c>
      <c r="I642" s="10">
        <v>6672.05</v>
      </c>
      <c r="J642" s="9" t="s">
        <v>2</v>
      </c>
      <c r="K642" s="7">
        <v>46265</v>
      </c>
      <c r="L642" s="9" t="s">
        <v>3</v>
      </c>
      <c r="M642" s="11" cm="1">
        <f t="array" ref="M642">IF(Invoices[[#This Row],[Status]]="Open",MAX(0,AsOf-Invoices[[#This Row],[Due Date]]),IF(Invoices[[#This Row],[Paid Date]]="","",MAX(0,Invoices[[#This Row],[Paid Date]]-Invoices[[#This Row],[Due Date]])))</f>
        <v>0</v>
      </c>
      <c r="N64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43" spans="1:14" ht="17.100000000000001" customHeight="1" x14ac:dyDescent="0.2">
      <c r="A643" s="6" t="s">
        <v>671</v>
      </c>
      <c r="B643" s="7">
        <v>46240</v>
      </c>
      <c r="C643" s="8" t="s">
        <v>31</v>
      </c>
      <c r="D643" s="8" t="s">
        <v>6</v>
      </c>
      <c r="E643" s="9">
        <v>60</v>
      </c>
      <c r="F643" s="7">
        <v>46240</v>
      </c>
      <c r="G643" s="10">
        <v>-11225.49</v>
      </c>
      <c r="H643" s="10">
        <v>-1683.82</v>
      </c>
      <c r="I643" s="10">
        <v>-12909.31</v>
      </c>
      <c r="J643" s="9" t="s">
        <v>111</v>
      </c>
      <c r="K643" s="7"/>
      <c r="L643" s="9" t="s">
        <v>112</v>
      </c>
      <c r="M643" s="11" t="str" cm="1">
        <f t="array" ref="M643">IF(Invoices[[#This Row],[Status]]="Open",MAX(0,AsOf-Invoices[[#This Row],[Due Date]]),IF(Invoices[[#This Row],[Paid Date]]="","",MAX(0,Invoices[[#This Row],[Paid Date]]-Invoices[[#This Row],[Due Date]])))</f>
        <v/>
      </c>
      <c r="N64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44" spans="1:14" ht="17.100000000000001" customHeight="1" x14ac:dyDescent="0.2">
      <c r="A644" s="6" t="s">
        <v>672</v>
      </c>
      <c r="B644" s="7">
        <v>46240</v>
      </c>
      <c r="C644" s="8" t="s">
        <v>54</v>
      </c>
      <c r="D644" s="8" t="s">
        <v>11</v>
      </c>
      <c r="E644" s="9">
        <v>30</v>
      </c>
      <c r="F644" s="7">
        <v>46270</v>
      </c>
      <c r="G644" s="10">
        <v>10307.43</v>
      </c>
      <c r="H644" s="10">
        <v>1546.11</v>
      </c>
      <c r="I644" s="10">
        <v>11853.54</v>
      </c>
      <c r="J644" s="9" t="s">
        <v>2</v>
      </c>
      <c r="K644" s="7">
        <v>46278</v>
      </c>
      <c r="L644" s="9" t="s">
        <v>3</v>
      </c>
      <c r="M644" s="11" cm="1">
        <f t="array" ref="M644">IF(Invoices[[#This Row],[Status]]="Open",MAX(0,AsOf-Invoices[[#This Row],[Due Date]]),IF(Invoices[[#This Row],[Paid Date]]="","",MAX(0,Invoices[[#This Row],[Paid Date]]-Invoices[[#This Row],[Due Date]])))</f>
        <v>8</v>
      </c>
      <c r="N64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45" spans="1:14" ht="17.100000000000001" customHeight="1" x14ac:dyDescent="0.2">
      <c r="A645" s="6" t="s">
        <v>673</v>
      </c>
      <c r="B645" s="7">
        <v>46240</v>
      </c>
      <c r="C645" s="8" t="s">
        <v>5</v>
      </c>
      <c r="D645" s="8" t="s">
        <v>6</v>
      </c>
      <c r="E645" s="9">
        <v>45</v>
      </c>
      <c r="F645" s="7">
        <v>46285</v>
      </c>
      <c r="G645" s="10">
        <v>8796.5300000000007</v>
      </c>
      <c r="H645" s="10">
        <v>1319.48</v>
      </c>
      <c r="I645" s="10">
        <v>10116.01</v>
      </c>
      <c r="J645" s="9" t="s">
        <v>2</v>
      </c>
      <c r="K645" s="7">
        <v>46284</v>
      </c>
      <c r="L645" s="9" t="s">
        <v>3</v>
      </c>
      <c r="M645" s="11" cm="1">
        <f t="array" ref="M645">IF(Invoices[[#This Row],[Status]]="Open",MAX(0,AsOf-Invoices[[#This Row],[Due Date]]),IF(Invoices[[#This Row],[Paid Date]]="","",MAX(0,Invoices[[#This Row],[Paid Date]]-Invoices[[#This Row],[Due Date]])))</f>
        <v>0</v>
      </c>
      <c r="N64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46" spans="1:14" ht="17.100000000000001" customHeight="1" x14ac:dyDescent="0.2">
      <c r="A646" s="6" t="s">
        <v>674</v>
      </c>
      <c r="B646" s="7">
        <v>46240</v>
      </c>
      <c r="C646" s="8" t="s">
        <v>31</v>
      </c>
      <c r="D646" s="8" t="s">
        <v>6</v>
      </c>
      <c r="E646" s="9">
        <v>60</v>
      </c>
      <c r="F646" s="7">
        <v>46300</v>
      </c>
      <c r="G646" s="10">
        <v>7772.14</v>
      </c>
      <c r="H646" s="10">
        <v>1165.82</v>
      </c>
      <c r="I646" s="10">
        <v>8937.9599999999991</v>
      </c>
      <c r="J646" s="9" t="s">
        <v>545</v>
      </c>
      <c r="K646" s="7"/>
      <c r="L646" s="9" t="s">
        <v>3</v>
      </c>
      <c r="M646" s="11" cm="1">
        <f t="array" ref="M646">IF(Invoices[[#This Row],[Status]]="Open",MAX(0,AsOf-Invoices[[#This Row],[Due Date]]),IF(Invoices[[#This Row],[Paid Date]]="","",MAX(0,Invoices[[#This Row],[Paid Date]]-Invoices[[#This Row],[Due Date]])))</f>
        <v>10</v>
      </c>
      <c r="N64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47" spans="1:14" ht="17.100000000000001" customHeight="1" x14ac:dyDescent="0.2">
      <c r="A647" s="6" t="s">
        <v>675</v>
      </c>
      <c r="B647" s="7">
        <v>46243</v>
      </c>
      <c r="C647" s="8" t="s">
        <v>5</v>
      </c>
      <c r="D647" s="8" t="s">
        <v>6</v>
      </c>
      <c r="E647" s="9">
        <v>45</v>
      </c>
      <c r="F647" s="7">
        <v>46288</v>
      </c>
      <c r="G647" s="10">
        <v>9487.0499999999993</v>
      </c>
      <c r="H647" s="10">
        <v>1423.06</v>
      </c>
      <c r="I647" s="10">
        <v>10910.11</v>
      </c>
      <c r="J647" s="9" t="s">
        <v>2</v>
      </c>
      <c r="K647" s="7">
        <v>46283</v>
      </c>
      <c r="L647" s="9" t="s">
        <v>3</v>
      </c>
      <c r="M647" s="11" cm="1">
        <f t="array" ref="M647">IF(Invoices[[#This Row],[Status]]="Open",MAX(0,AsOf-Invoices[[#This Row],[Due Date]]),IF(Invoices[[#This Row],[Paid Date]]="","",MAX(0,Invoices[[#This Row],[Paid Date]]-Invoices[[#This Row],[Due Date]])))</f>
        <v>0</v>
      </c>
      <c r="N64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48" spans="1:14" ht="17.100000000000001" customHeight="1" x14ac:dyDescent="0.2">
      <c r="A648" s="6" t="s">
        <v>676</v>
      </c>
      <c r="B648" s="7">
        <v>46243</v>
      </c>
      <c r="C648" s="8" t="s">
        <v>69</v>
      </c>
      <c r="D648" s="8" t="s">
        <v>6</v>
      </c>
      <c r="E648" s="9">
        <v>45</v>
      </c>
      <c r="F648" s="7">
        <v>46288</v>
      </c>
      <c r="G648" s="10">
        <v>5521.81</v>
      </c>
      <c r="H648" s="10">
        <v>828.27</v>
      </c>
      <c r="I648" s="10">
        <v>6350.08</v>
      </c>
      <c r="J648" s="9" t="s">
        <v>2</v>
      </c>
      <c r="K648" s="7">
        <v>46287</v>
      </c>
      <c r="L648" s="9" t="s">
        <v>3</v>
      </c>
      <c r="M648" s="11" cm="1">
        <f t="array" ref="M648">IF(Invoices[[#This Row],[Status]]="Open",MAX(0,AsOf-Invoices[[#This Row],[Due Date]]),IF(Invoices[[#This Row],[Paid Date]]="","",MAX(0,Invoices[[#This Row],[Paid Date]]-Invoices[[#This Row],[Due Date]])))</f>
        <v>0</v>
      </c>
      <c r="N64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49" spans="1:14" ht="17.100000000000001" customHeight="1" x14ac:dyDescent="0.2">
      <c r="A649" s="6" t="s">
        <v>677</v>
      </c>
      <c r="B649" s="7">
        <v>46243</v>
      </c>
      <c r="C649" s="8" t="s">
        <v>5</v>
      </c>
      <c r="D649" s="8" t="s">
        <v>6</v>
      </c>
      <c r="E649" s="9">
        <v>45</v>
      </c>
      <c r="F649" s="7">
        <v>46288</v>
      </c>
      <c r="G649" s="10">
        <v>5278.7</v>
      </c>
      <c r="H649" s="10">
        <v>791.8</v>
      </c>
      <c r="I649" s="10">
        <v>6070.5</v>
      </c>
      <c r="J649" s="9" t="s">
        <v>2</v>
      </c>
      <c r="K649" s="7">
        <v>46291</v>
      </c>
      <c r="L649" s="9" t="s">
        <v>3</v>
      </c>
      <c r="M649" s="11" cm="1">
        <f t="array" ref="M649">IF(Invoices[[#This Row],[Status]]="Open",MAX(0,AsOf-Invoices[[#This Row],[Due Date]]),IF(Invoices[[#This Row],[Paid Date]]="","",MAX(0,Invoices[[#This Row],[Paid Date]]-Invoices[[#This Row],[Due Date]])))</f>
        <v>3</v>
      </c>
      <c r="N64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50" spans="1:14" ht="17.100000000000001" customHeight="1" x14ac:dyDescent="0.2">
      <c r="A650" s="6" t="s">
        <v>678</v>
      </c>
      <c r="B650" s="7">
        <v>46244</v>
      </c>
      <c r="C650" s="8" t="s">
        <v>34</v>
      </c>
      <c r="D650" s="8" t="s">
        <v>21</v>
      </c>
      <c r="E650" s="9">
        <v>30</v>
      </c>
      <c r="F650" s="7">
        <v>46274</v>
      </c>
      <c r="G650" s="10">
        <v>3658.74</v>
      </c>
      <c r="H650" s="10">
        <v>548.80999999999995</v>
      </c>
      <c r="I650" s="10">
        <v>4207.55</v>
      </c>
      <c r="J650" s="9" t="s">
        <v>2</v>
      </c>
      <c r="K650" s="7">
        <v>46274</v>
      </c>
      <c r="L650" s="9" t="s">
        <v>3</v>
      </c>
      <c r="M650" s="11" cm="1">
        <f t="array" ref="M650">IF(Invoices[[#This Row],[Status]]="Open",MAX(0,AsOf-Invoices[[#This Row],[Due Date]]),IF(Invoices[[#This Row],[Paid Date]]="","",MAX(0,Invoices[[#This Row],[Paid Date]]-Invoices[[#This Row],[Due Date]])))</f>
        <v>0</v>
      </c>
      <c r="N65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51" spans="1:14" ht="17.100000000000001" customHeight="1" x14ac:dyDescent="0.2">
      <c r="A651" s="6" t="s">
        <v>679</v>
      </c>
      <c r="B651" s="7">
        <v>46244</v>
      </c>
      <c r="C651" s="8" t="s">
        <v>16</v>
      </c>
      <c r="D651" s="8" t="s">
        <v>17</v>
      </c>
      <c r="E651" s="9">
        <v>30</v>
      </c>
      <c r="F651" s="7">
        <v>46274</v>
      </c>
      <c r="G651" s="10">
        <v>1187.44</v>
      </c>
      <c r="H651" s="10">
        <v>178.12</v>
      </c>
      <c r="I651" s="10">
        <v>1365.56</v>
      </c>
      <c r="J651" s="9" t="s">
        <v>2</v>
      </c>
      <c r="K651" s="7">
        <v>46286</v>
      </c>
      <c r="L651" s="9" t="s">
        <v>3</v>
      </c>
      <c r="M651" s="11" cm="1">
        <f t="array" ref="M651">IF(Invoices[[#This Row],[Status]]="Open",MAX(0,AsOf-Invoices[[#This Row],[Due Date]]),IF(Invoices[[#This Row],[Paid Date]]="","",MAX(0,Invoices[[#This Row],[Paid Date]]-Invoices[[#This Row],[Due Date]])))</f>
        <v>12</v>
      </c>
      <c r="N65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52" spans="1:14" ht="17.100000000000001" customHeight="1" x14ac:dyDescent="0.2">
      <c r="A652" s="6" t="s">
        <v>680</v>
      </c>
      <c r="B652" s="7">
        <v>46244</v>
      </c>
      <c r="C652" s="8" t="s">
        <v>34</v>
      </c>
      <c r="D652" s="8" t="s">
        <v>21</v>
      </c>
      <c r="E652" s="9">
        <v>30</v>
      </c>
      <c r="F652" s="7">
        <v>46274</v>
      </c>
      <c r="G652" s="10">
        <v>8146.77</v>
      </c>
      <c r="H652" s="10">
        <v>1222.02</v>
      </c>
      <c r="I652" s="10">
        <v>9368.7900000000009</v>
      </c>
      <c r="J652" s="9" t="s">
        <v>2</v>
      </c>
      <c r="K652" s="7">
        <v>46276</v>
      </c>
      <c r="L652" s="9" t="s">
        <v>3</v>
      </c>
      <c r="M652" s="11" cm="1">
        <f t="array" ref="M652">IF(Invoices[[#This Row],[Status]]="Open",MAX(0,AsOf-Invoices[[#This Row],[Due Date]]),IF(Invoices[[#This Row],[Paid Date]]="","",MAX(0,Invoices[[#This Row],[Paid Date]]-Invoices[[#This Row],[Due Date]])))</f>
        <v>2</v>
      </c>
      <c r="N65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53" spans="1:14" ht="17.100000000000001" customHeight="1" x14ac:dyDescent="0.2">
      <c r="A653" s="6" t="s">
        <v>681</v>
      </c>
      <c r="B653" s="7">
        <v>46244</v>
      </c>
      <c r="C653" s="8" t="s">
        <v>45</v>
      </c>
      <c r="D653" s="8" t="s">
        <v>17</v>
      </c>
      <c r="E653" s="9">
        <v>30</v>
      </c>
      <c r="F653" s="7">
        <v>46274</v>
      </c>
      <c r="G653" s="10">
        <v>5644.88</v>
      </c>
      <c r="H653" s="10">
        <v>846.73</v>
      </c>
      <c r="I653" s="10">
        <v>6491.61</v>
      </c>
      <c r="J653" s="9" t="s">
        <v>2</v>
      </c>
      <c r="K653" s="7">
        <v>46274</v>
      </c>
      <c r="L653" s="9" t="s">
        <v>3</v>
      </c>
      <c r="M653" s="11" cm="1">
        <f t="array" ref="M653">IF(Invoices[[#This Row],[Status]]="Open",MAX(0,AsOf-Invoices[[#This Row],[Due Date]]),IF(Invoices[[#This Row],[Paid Date]]="","",MAX(0,Invoices[[#This Row],[Paid Date]]-Invoices[[#This Row],[Due Date]])))</f>
        <v>0</v>
      </c>
      <c r="N65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54" spans="1:14" ht="17.100000000000001" customHeight="1" x14ac:dyDescent="0.2">
      <c r="A654" s="6" t="s">
        <v>682</v>
      </c>
      <c r="B654" s="7">
        <v>46244</v>
      </c>
      <c r="C654" s="8" t="s">
        <v>10</v>
      </c>
      <c r="D654" s="8" t="s">
        <v>11</v>
      </c>
      <c r="E654" s="9">
        <v>30</v>
      </c>
      <c r="F654" s="7">
        <v>46274</v>
      </c>
      <c r="G654" s="10">
        <v>9945.4599999999991</v>
      </c>
      <c r="H654" s="10">
        <v>1491.82</v>
      </c>
      <c r="I654" s="10">
        <v>11437.28</v>
      </c>
      <c r="J654" s="9" t="s">
        <v>2</v>
      </c>
      <c r="K654" s="7">
        <v>46280</v>
      </c>
      <c r="L654" s="9" t="s">
        <v>3</v>
      </c>
      <c r="M654" s="11" cm="1">
        <f t="array" ref="M654">IF(Invoices[[#This Row],[Status]]="Open",MAX(0,AsOf-Invoices[[#This Row],[Due Date]]),IF(Invoices[[#This Row],[Paid Date]]="","",MAX(0,Invoices[[#This Row],[Paid Date]]-Invoices[[#This Row],[Due Date]])))</f>
        <v>6</v>
      </c>
      <c r="N65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55" spans="1:14" ht="17.100000000000001" customHeight="1" x14ac:dyDescent="0.2">
      <c r="A655" s="6" t="s">
        <v>683</v>
      </c>
      <c r="B655" s="7">
        <v>46244</v>
      </c>
      <c r="C655" s="8" t="s">
        <v>16</v>
      </c>
      <c r="D655" s="8" t="s">
        <v>17</v>
      </c>
      <c r="E655" s="9">
        <v>30</v>
      </c>
      <c r="F655" s="7">
        <v>46274</v>
      </c>
      <c r="G655" s="10">
        <v>3270.57</v>
      </c>
      <c r="H655" s="10">
        <v>490.59</v>
      </c>
      <c r="I655" s="10">
        <v>3761.16</v>
      </c>
      <c r="J655" s="9" t="s">
        <v>2</v>
      </c>
      <c r="K655" s="7">
        <v>46285</v>
      </c>
      <c r="L655" s="9" t="s">
        <v>3</v>
      </c>
      <c r="M655" s="11" cm="1">
        <f t="array" ref="M655">IF(Invoices[[#This Row],[Status]]="Open",MAX(0,AsOf-Invoices[[#This Row],[Due Date]]),IF(Invoices[[#This Row],[Paid Date]]="","",MAX(0,Invoices[[#This Row],[Paid Date]]-Invoices[[#This Row],[Due Date]])))</f>
        <v>11</v>
      </c>
      <c r="N65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56" spans="1:14" ht="17.100000000000001" customHeight="1" x14ac:dyDescent="0.2">
      <c r="A656" s="6" t="s">
        <v>684</v>
      </c>
      <c r="B656" s="7">
        <v>46244</v>
      </c>
      <c r="C656" s="8" t="s">
        <v>5</v>
      </c>
      <c r="D656" s="8" t="s">
        <v>6</v>
      </c>
      <c r="E656" s="9">
        <v>45</v>
      </c>
      <c r="F656" s="7">
        <v>46289</v>
      </c>
      <c r="G656" s="10">
        <v>8637.02</v>
      </c>
      <c r="H656" s="10">
        <v>1295.55</v>
      </c>
      <c r="I656" s="10">
        <v>9932.57</v>
      </c>
      <c r="J656" s="9" t="s">
        <v>2</v>
      </c>
      <c r="K656" s="7">
        <v>46289</v>
      </c>
      <c r="L656" s="9" t="s">
        <v>3</v>
      </c>
      <c r="M656" s="11" cm="1">
        <f t="array" ref="M656">IF(Invoices[[#This Row],[Status]]="Open",MAX(0,AsOf-Invoices[[#This Row],[Due Date]]),IF(Invoices[[#This Row],[Paid Date]]="","",MAX(0,Invoices[[#This Row],[Paid Date]]-Invoices[[#This Row],[Due Date]])))</f>
        <v>0</v>
      </c>
      <c r="N65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57" spans="1:14" ht="17.100000000000001" customHeight="1" x14ac:dyDescent="0.2">
      <c r="A657" s="6" t="s">
        <v>685</v>
      </c>
      <c r="B657" s="7">
        <v>46245</v>
      </c>
      <c r="C657" s="8" t="s">
        <v>13</v>
      </c>
      <c r="D657" s="8" t="s">
        <v>1</v>
      </c>
      <c r="E657" s="9">
        <v>30</v>
      </c>
      <c r="F657" s="7">
        <v>46275</v>
      </c>
      <c r="G657" s="10">
        <v>1953.7</v>
      </c>
      <c r="H657" s="10">
        <v>293.06</v>
      </c>
      <c r="I657" s="10">
        <v>2246.7600000000002</v>
      </c>
      <c r="J657" s="9" t="s">
        <v>2</v>
      </c>
      <c r="K657" s="7">
        <v>46273</v>
      </c>
      <c r="L657" s="9" t="s">
        <v>3</v>
      </c>
      <c r="M657" s="11" cm="1">
        <f t="array" ref="M657">IF(Invoices[[#This Row],[Status]]="Open",MAX(0,AsOf-Invoices[[#This Row],[Due Date]]),IF(Invoices[[#This Row],[Paid Date]]="","",MAX(0,Invoices[[#This Row],[Paid Date]]-Invoices[[#This Row],[Due Date]])))</f>
        <v>0</v>
      </c>
      <c r="N65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58" spans="1:14" ht="17.100000000000001" customHeight="1" x14ac:dyDescent="0.2">
      <c r="A658" s="6" t="s">
        <v>686</v>
      </c>
      <c r="B658" s="7">
        <v>46247</v>
      </c>
      <c r="C658" s="8" t="s">
        <v>31</v>
      </c>
      <c r="D658" s="8" t="s">
        <v>6</v>
      </c>
      <c r="E658" s="9">
        <v>60</v>
      </c>
      <c r="F658" s="7">
        <v>46307</v>
      </c>
      <c r="G658" s="10">
        <v>16216.94</v>
      </c>
      <c r="H658" s="10">
        <v>2432.54</v>
      </c>
      <c r="I658" s="10">
        <v>18649.48</v>
      </c>
      <c r="J658" s="9" t="s">
        <v>2</v>
      </c>
      <c r="K658" s="7">
        <v>46306</v>
      </c>
      <c r="L658" s="9" t="s">
        <v>3</v>
      </c>
      <c r="M658" s="11" cm="1">
        <f t="array" ref="M658">IF(Invoices[[#This Row],[Status]]="Open",MAX(0,AsOf-Invoices[[#This Row],[Due Date]]),IF(Invoices[[#This Row],[Paid Date]]="","",MAX(0,Invoices[[#This Row],[Paid Date]]-Invoices[[#This Row],[Due Date]])))</f>
        <v>0</v>
      </c>
      <c r="N65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59" spans="1:14" ht="17.100000000000001" customHeight="1" x14ac:dyDescent="0.2">
      <c r="A659" s="6" t="s">
        <v>687</v>
      </c>
      <c r="B659" s="7">
        <v>46247</v>
      </c>
      <c r="C659" s="8" t="s">
        <v>31</v>
      </c>
      <c r="D659" s="8" t="s">
        <v>6</v>
      </c>
      <c r="E659" s="9">
        <v>60</v>
      </c>
      <c r="F659" s="7">
        <v>46307</v>
      </c>
      <c r="G659" s="10">
        <v>14238.5</v>
      </c>
      <c r="H659" s="10">
        <v>2135.7800000000002</v>
      </c>
      <c r="I659" s="10">
        <v>16374.28</v>
      </c>
      <c r="J659" s="9" t="s">
        <v>2</v>
      </c>
      <c r="K659" s="7">
        <v>46302</v>
      </c>
      <c r="L659" s="9" t="s">
        <v>3</v>
      </c>
      <c r="M659" s="11" cm="1">
        <f t="array" ref="M659">IF(Invoices[[#This Row],[Status]]="Open",MAX(0,AsOf-Invoices[[#This Row],[Due Date]]),IF(Invoices[[#This Row],[Paid Date]]="","",MAX(0,Invoices[[#This Row],[Paid Date]]-Invoices[[#This Row],[Due Date]])))</f>
        <v>0</v>
      </c>
      <c r="N65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60" spans="1:14" ht="17.100000000000001" customHeight="1" x14ac:dyDescent="0.2">
      <c r="A660" s="6" t="s">
        <v>688</v>
      </c>
      <c r="B660" s="7">
        <v>46247</v>
      </c>
      <c r="C660" s="8" t="s">
        <v>61</v>
      </c>
      <c r="D660" s="8" t="s">
        <v>62</v>
      </c>
      <c r="E660" s="9">
        <v>15</v>
      </c>
      <c r="F660" s="7">
        <v>46262</v>
      </c>
      <c r="G660" s="10">
        <v>1691.22</v>
      </c>
      <c r="H660" s="10">
        <v>253.68</v>
      </c>
      <c r="I660" s="10">
        <v>1944.9</v>
      </c>
      <c r="J660" s="9" t="s">
        <v>2</v>
      </c>
      <c r="K660" s="7">
        <v>46265</v>
      </c>
      <c r="L660" s="9" t="s">
        <v>3</v>
      </c>
      <c r="M660" s="11" cm="1">
        <f t="array" ref="M660">IF(Invoices[[#This Row],[Status]]="Open",MAX(0,AsOf-Invoices[[#This Row],[Due Date]]),IF(Invoices[[#This Row],[Paid Date]]="","",MAX(0,Invoices[[#This Row],[Paid Date]]-Invoices[[#This Row],[Due Date]])))</f>
        <v>3</v>
      </c>
      <c r="N66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61" spans="1:14" ht="17.100000000000001" customHeight="1" x14ac:dyDescent="0.2">
      <c r="A661" s="6" t="s">
        <v>689</v>
      </c>
      <c r="B661" s="7">
        <v>46247</v>
      </c>
      <c r="C661" s="8" t="s">
        <v>75</v>
      </c>
      <c r="D661" s="8" t="s">
        <v>21</v>
      </c>
      <c r="E661" s="9">
        <v>30</v>
      </c>
      <c r="F661" s="7">
        <v>46277</v>
      </c>
      <c r="G661" s="10">
        <v>1857.64</v>
      </c>
      <c r="H661" s="10">
        <v>278.64999999999998</v>
      </c>
      <c r="I661" s="10">
        <v>2136.29</v>
      </c>
      <c r="J661" s="9" t="s">
        <v>2</v>
      </c>
      <c r="K661" s="7">
        <v>46281</v>
      </c>
      <c r="L661" s="9" t="s">
        <v>3</v>
      </c>
      <c r="M661" s="11" cm="1">
        <f t="array" ref="M661">IF(Invoices[[#This Row],[Status]]="Open",MAX(0,AsOf-Invoices[[#This Row],[Due Date]]),IF(Invoices[[#This Row],[Paid Date]]="","",MAX(0,Invoices[[#This Row],[Paid Date]]-Invoices[[#This Row],[Due Date]])))</f>
        <v>4</v>
      </c>
      <c r="N66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62" spans="1:14" ht="17.100000000000001" customHeight="1" x14ac:dyDescent="0.2">
      <c r="A662" s="6" t="s">
        <v>690</v>
      </c>
      <c r="B662" s="7">
        <v>46250</v>
      </c>
      <c r="C662" s="8" t="s">
        <v>5</v>
      </c>
      <c r="D662" s="8" t="s">
        <v>6</v>
      </c>
      <c r="E662" s="9">
        <v>45</v>
      </c>
      <c r="F662" s="7">
        <v>46295</v>
      </c>
      <c r="G662" s="10">
        <v>9400.56</v>
      </c>
      <c r="H662" s="10">
        <v>1410.08</v>
      </c>
      <c r="I662" s="10">
        <v>10810.64</v>
      </c>
      <c r="J662" s="9" t="s">
        <v>2</v>
      </c>
      <c r="K662" s="7">
        <v>46292</v>
      </c>
      <c r="L662" s="9" t="s">
        <v>3</v>
      </c>
      <c r="M662" s="11" cm="1">
        <f t="array" ref="M662">IF(Invoices[[#This Row],[Status]]="Open",MAX(0,AsOf-Invoices[[#This Row],[Due Date]]),IF(Invoices[[#This Row],[Paid Date]]="","",MAX(0,Invoices[[#This Row],[Paid Date]]-Invoices[[#This Row],[Due Date]])))</f>
        <v>0</v>
      </c>
      <c r="N66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63" spans="1:14" ht="17.100000000000001" customHeight="1" x14ac:dyDescent="0.2">
      <c r="A663" s="6" t="s">
        <v>691</v>
      </c>
      <c r="B663" s="7">
        <v>46250</v>
      </c>
      <c r="C663" s="8" t="s">
        <v>5</v>
      </c>
      <c r="D663" s="8" t="s">
        <v>6</v>
      </c>
      <c r="E663" s="9">
        <v>45</v>
      </c>
      <c r="F663" s="7">
        <v>46295</v>
      </c>
      <c r="G663" s="10">
        <v>12756.58</v>
      </c>
      <c r="H663" s="10">
        <v>1913.49</v>
      </c>
      <c r="I663" s="10">
        <v>14670.07</v>
      </c>
      <c r="J663" s="9" t="s">
        <v>2</v>
      </c>
      <c r="K663" s="7">
        <v>46299</v>
      </c>
      <c r="L663" s="9" t="s">
        <v>3</v>
      </c>
      <c r="M663" s="11" cm="1">
        <f t="array" ref="M663">IF(Invoices[[#This Row],[Status]]="Open",MAX(0,AsOf-Invoices[[#This Row],[Due Date]]),IF(Invoices[[#This Row],[Paid Date]]="","",MAX(0,Invoices[[#This Row],[Paid Date]]-Invoices[[#This Row],[Due Date]])))</f>
        <v>4</v>
      </c>
      <c r="N66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64" spans="1:14" ht="17.100000000000001" customHeight="1" x14ac:dyDescent="0.2">
      <c r="A664" s="6" t="s">
        <v>692</v>
      </c>
      <c r="B664" s="7">
        <v>46251</v>
      </c>
      <c r="C664" s="8" t="s">
        <v>31</v>
      </c>
      <c r="D664" s="8" t="s">
        <v>6</v>
      </c>
      <c r="E664" s="9">
        <v>60</v>
      </c>
      <c r="F664" s="7">
        <v>46311</v>
      </c>
      <c r="G664" s="10">
        <v>15981.14</v>
      </c>
      <c r="H664" s="10">
        <v>2397.17</v>
      </c>
      <c r="I664" s="10">
        <v>18378.310000000001</v>
      </c>
      <c r="J664" s="9" t="s">
        <v>545</v>
      </c>
      <c r="K664" s="7"/>
      <c r="L664" s="9" t="s">
        <v>3</v>
      </c>
      <c r="M664" s="11" cm="1">
        <f t="array" ref="M664">IF(Invoices[[#This Row],[Status]]="Open",MAX(0,AsOf-Invoices[[#This Row],[Due Date]]),IF(Invoices[[#This Row],[Paid Date]]="","",MAX(0,Invoices[[#This Row],[Paid Date]]-Invoices[[#This Row],[Due Date]])))</f>
        <v>0</v>
      </c>
      <c r="N66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65" spans="1:14" ht="17.100000000000001" customHeight="1" x14ac:dyDescent="0.2">
      <c r="A665" s="6" t="s">
        <v>693</v>
      </c>
      <c r="B665" s="7">
        <v>46251</v>
      </c>
      <c r="C665" s="8" t="s">
        <v>36</v>
      </c>
      <c r="D665" s="8" t="s">
        <v>17</v>
      </c>
      <c r="E665" s="9">
        <v>30</v>
      </c>
      <c r="F665" s="7">
        <v>46281</v>
      </c>
      <c r="G665" s="10">
        <v>4546.54</v>
      </c>
      <c r="H665" s="10">
        <v>681.98</v>
      </c>
      <c r="I665" s="10">
        <v>5228.5200000000004</v>
      </c>
      <c r="J665" s="9" t="s">
        <v>2</v>
      </c>
      <c r="K665" s="7">
        <v>46285</v>
      </c>
      <c r="L665" s="9" t="s">
        <v>3</v>
      </c>
      <c r="M665" s="11" cm="1">
        <f t="array" ref="M665">IF(Invoices[[#This Row],[Status]]="Open",MAX(0,AsOf-Invoices[[#This Row],[Due Date]]),IF(Invoices[[#This Row],[Paid Date]]="","",MAX(0,Invoices[[#This Row],[Paid Date]]-Invoices[[#This Row],[Due Date]])))</f>
        <v>4</v>
      </c>
      <c r="N66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66" spans="1:14" ht="17.100000000000001" customHeight="1" x14ac:dyDescent="0.2">
      <c r="A666" s="6" t="s">
        <v>694</v>
      </c>
      <c r="B666" s="7">
        <v>46252</v>
      </c>
      <c r="C666" s="8" t="s">
        <v>8</v>
      </c>
      <c r="D666" s="8" t="s">
        <v>6</v>
      </c>
      <c r="E666" s="9">
        <v>45</v>
      </c>
      <c r="F666" s="7">
        <v>46252</v>
      </c>
      <c r="G666" s="10">
        <v>-6327.5</v>
      </c>
      <c r="H666" s="10">
        <v>-949.12</v>
      </c>
      <c r="I666" s="10">
        <v>-7276.62</v>
      </c>
      <c r="J666" s="9" t="s">
        <v>111</v>
      </c>
      <c r="K666" s="7"/>
      <c r="L666" s="9" t="s">
        <v>112</v>
      </c>
      <c r="M666" s="11" t="str" cm="1">
        <f t="array" ref="M666">IF(Invoices[[#This Row],[Status]]="Open",MAX(0,AsOf-Invoices[[#This Row],[Due Date]]),IF(Invoices[[#This Row],[Paid Date]]="","",MAX(0,Invoices[[#This Row],[Paid Date]]-Invoices[[#This Row],[Due Date]])))</f>
        <v/>
      </c>
      <c r="N66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67" spans="1:14" ht="17.100000000000001" customHeight="1" x14ac:dyDescent="0.2">
      <c r="A667" s="6" t="s">
        <v>695</v>
      </c>
      <c r="B667" s="7">
        <v>46252</v>
      </c>
      <c r="C667" s="8" t="s">
        <v>24</v>
      </c>
      <c r="D667" s="8" t="s">
        <v>25</v>
      </c>
      <c r="E667" s="9">
        <v>60</v>
      </c>
      <c r="F667" s="7">
        <v>46312</v>
      </c>
      <c r="G667" s="10">
        <v>5510.63</v>
      </c>
      <c r="H667" s="10">
        <v>826.59</v>
      </c>
      <c r="I667" s="10">
        <v>6337.22</v>
      </c>
      <c r="J667" s="9" t="s">
        <v>545</v>
      </c>
      <c r="K667" s="7"/>
      <c r="L667" s="9" t="s">
        <v>3</v>
      </c>
      <c r="M667" s="11" cm="1">
        <f t="array" ref="M667">IF(Invoices[[#This Row],[Status]]="Open",MAX(0,AsOf-Invoices[[#This Row],[Due Date]]),IF(Invoices[[#This Row],[Paid Date]]="","",MAX(0,Invoices[[#This Row],[Paid Date]]-Invoices[[#This Row],[Due Date]])))</f>
        <v>0</v>
      </c>
      <c r="N66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68" spans="1:14" ht="17.100000000000001" customHeight="1" x14ac:dyDescent="0.2">
      <c r="A668" s="6" t="s">
        <v>696</v>
      </c>
      <c r="B668" s="7">
        <v>46253</v>
      </c>
      <c r="C668" s="8" t="s">
        <v>89</v>
      </c>
      <c r="D668" s="8" t="s">
        <v>39</v>
      </c>
      <c r="E668" s="9">
        <v>15</v>
      </c>
      <c r="F668" s="7">
        <v>46268</v>
      </c>
      <c r="G668" s="10">
        <v>1436.68</v>
      </c>
      <c r="H668" s="10">
        <v>215.5</v>
      </c>
      <c r="I668" s="10">
        <v>1652.18</v>
      </c>
      <c r="J668" s="9" t="s">
        <v>2</v>
      </c>
      <c r="K668" s="7">
        <v>46264</v>
      </c>
      <c r="L668" s="9" t="s">
        <v>3</v>
      </c>
      <c r="M668" s="11" cm="1">
        <f t="array" ref="M668">IF(Invoices[[#This Row],[Status]]="Open",MAX(0,AsOf-Invoices[[#This Row],[Due Date]]),IF(Invoices[[#This Row],[Paid Date]]="","",MAX(0,Invoices[[#This Row],[Paid Date]]-Invoices[[#This Row],[Due Date]])))</f>
        <v>0</v>
      </c>
      <c r="N66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69" spans="1:14" ht="17.100000000000001" customHeight="1" x14ac:dyDescent="0.2">
      <c r="A669" s="6" t="s">
        <v>697</v>
      </c>
      <c r="B669" s="7">
        <v>46253</v>
      </c>
      <c r="C669" s="8" t="s">
        <v>20</v>
      </c>
      <c r="D669" s="8" t="s">
        <v>21</v>
      </c>
      <c r="E669" s="9">
        <v>30</v>
      </c>
      <c r="F669" s="7">
        <v>46283</v>
      </c>
      <c r="G669" s="10">
        <v>3182.47</v>
      </c>
      <c r="H669" s="10">
        <v>477.37</v>
      </c>
      <c r="I669" s="10">
        <v>3659.84</v>
      </c>
      <c r="J669" s="9" t="s">
        <v>2</v>
      </c>
      <c r="K669" s="7">
        <v>46282</v>
      </c>
      <c r="L669" s="9" t="s">
        <v>3</v>
      </c>
      <c r="M669" s="11" cm="1">
        <f t="array" ref="M669">IF(Invoices[[#This Row],[Status]]="Open",MAX(0,AsOf-Invoices[[#This Row],[Due Date]]),IF(Invoices[[#This Row],[Paid Date]]="","",MAX(0,Invoices[[#This Row],[Paid Date]]-Invoices[[#This Row],[Due Date]])))</f>
        <v>0</v>
      </c>
      <c r="N66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70" spans="1:14" ht="17.100000000000001" customHeight="1" x14ac:dyDescent="0.2">
      <c r="A670" s="6" t="s">
        <v>698</v>
      </c>
      <c r="B670" s="7">
        <v>46253</v>
      </c>
      <c r="C670" s="8" t="s">
        <v>10</v>
      </c>
      <c r="D670" s="8" t="s">
        <v>11</v>
      </c>
      <c r="E670" s="9">
        <v>30</v>
      </c>
      <c r="F670" s="7">
        <v>46283</v>
      </c>
      <c r="G670" s="10">
        <v>10411.74</v>
      </c>
      <c r="H670" s="10">
        <v>1561.76</v>
      </c>
      <c r="I670" s="10">
        <v>11973.5</v>
      </c>
      <c r="J670" s="9" t="s">
        <v>2</v>
      </c>
      <c r="K670" s="7">
        <v>46283</v>
      </c>
      <c r="L670" s="9" t="s">
        <v>3</v>
      </c>
      <c r="M670" s="11" cm="1">
        <f t="array" ref="M670">IF(Invoices[[#This Row],[Status]]="Open",MAX(0,AsOf-Invoices[[#This Row],[Due Date]]),IF(Invoices[[#This Row],[Paid Date]]="","",MAX(0,Invoices[[#This Row],[Paid Date]]-Invoices[[#This Row],[Due Date]])))</f>
        <v>0</v>
      </c>
      <c r="N67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71" spans="1:14" ht="17.100000000000001" customHeight="1" x14ac:dyDescent="0.2">
      <c r="A671" s="6" t="s">
        <v>699</v>
      </c>
      <c r="B671" s="7">
        <v>46254</v>
      </c>
      <c r="C671" s="8" t="s">
        <v>24</v>
      </c>
      <c r="D671" s="8" t="s">
        <v>25</v>
      </c>
      <c r="E671" s="9">
        <v>60</v>
      </c>
      <c r="F671" s="7">
        <v>46314</v>
      </c>
      <c r="G671" s="10">
        <v>11284.5</v>
      </c>
      <c r="H671" s="10">
        <v>1692.67</v>
      </c>
      <c r="I671" s="10">
        <v>12977.17</v>
      </c>
      <c r="J671" s="9" t="s">
        <v>2</v>
      </c>
      <c r="K671" s="7">
        <v>46309</v>
      </c>
      <c r="L671" s="9" t="s">
        <v>3</v>
      </c>
      <c r="M671" s="11" cm="1">
        <f t="array" ref="M671">IF(Invoices[[#This Row],[Status]]="Open",MAX(0,AsOf-Invoices[[#This Row],[Due Date]]),IF(Invoices[[#This Row],[Paid Date]]="","",MAX(0,Invoices[[#This Row],[Paid Date]]-Invoices[[#This Row],[Due Date]])))</f>
        <v>0</v>
      </c>
      <c r="N67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72" spans="1:14" ht="17.100000000000001" customHeight="1" x14ac:dyDescent="0.2">
      <c r="A672" s="6" t="s">
        <v>700</v>
      </c>
      <c r="B672" s="7">
        <v>46254</v>
      </c>
      <c r="C672" s="8" t="s">
        <v>34</v>
      </c>
      <c r="D672" s="8" t="s">
        <v>21</v>
      </c>
      <c r="E672" s="9">
        <v>30</v>
      </c>
      <c r="F672" s="7">
        <v>46284</v>
      </c>
      <c r="G672" s="10">
        <v>2697.88</v>
      </c>
      <c r="H672" s="10">
        <v>404.68</v>
      </c>
      <c r="I672" s="10">
        <v>3102.56</v>
      </c>
      <c r="J672" s="9" t="s">
        <v>2</v>
      </c>
      <c r="K672" s="7">
        <v>46290</v>
      </c>
      <c r="L672" s="9" t="s">
        <v>3</v>
      </c>
      <c r="M672" s="11" cm="1">
        <f t="array" ref="M672">IF(Invoices[[#This Row],[Status]]="Open",MAX(0,AsOf-Invoices[[#This Row],[Due Date]]),IF(Invoices[[#This Row],[Paid Date]]="","",MAX(0,Invoices[[#This Row],[Paid Date]]-Invoices[[#This Row],[Due Date]])))</f>
        <v>6</v>
      </c>
      <c r="N67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73" spans="1:14" ht="17.100000000000001" customHeight="1" x14ac:dyDescent="0.2">
      <c r="A673" s="6" t="s">
        <v>701</v>
      </c>
      <c r="B673" s="7">
        <v>46254</v>
      </c>
      <c r="C673" s="8" t="s">
        <v>56</v>
      </c>
      <c r="D673" s="8" t="s">
        <v>17</v>
      </c>
      <c r="E673" s="9">
        <v>30</v>
      </c>
      <c r="F673" s="7">
        <v>46284</v>
      </c>
      <c r="G673" s="10">
        <v>3639.18</v>
      </c>
      <c r="H673" s="10">
        <v>545.88</v>
      </c>
      <c r="I673" s="10">
        <v>4185.0600000000004</v>
      </c>
      <c r="J673" s="9" t="s">
        <v>2</v>
      </c>
      <c r="K673" s="7">
        <v>46288</v>
      </c>
      <c r="L673" s="9" t="s">
        <v>3</v>
      </c>
      <c r="M673" s="11" cm="1">
        <f t="array" ref="M673">IF(Invoices[[#This Row],[Status]]="Open",MAX(0,AsOf-Invoices[[#This Row],[Due Date]]),IF(Invoices[[#This Row],[Paid Date]]="","",MAX(0,Invoices[[#This Row],[Paid Date]]-Invoices[[#This Row],[Due Date]])))</f>
        <v>4</v>
      </c>
      <c r="N67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74" spans="1:14" ht="17.100000000000001" customHeight="1" x14ac:dyDescent="0.2">
      <c r="A674" s="6" t="s">
        <v>702</v>
      </c>
      <c r="B674" s="7">
        <v>46257</v>
      </c>
      <c r="C674" s="8" t="s">
        <v>20</v>
      </c>
      <c r="D674" s="8" t="s">
        <v>21</v>
      </c>
      <c r="E674" s="9">
        <v>30</v>
      </c>
      <c r="F674" s="7">
        <v>46287</v>
      </c>
      <c r="G674" s="10">
        <v>5794.05</v>
      </c>
      <c r="H674" s="10">
        <v>869.11</v>
      </c>
      <c r="I674" s="10">
        <v>6663.16</v>
      </c>
      <c r="J674" s="9" t="s">
        <v>2</v>
      </c>
      <c r="K674" s="7">
        <v>46286</v>
      </c>
      <c r="L674" s="9" t="s">
        <v>3</v>
      </c>
      <c r="M674" s="11" cm="1">
        <f t="array" ref="M674">IF(Invoices[[#This Row],[Status]]="Open",MAX(0,AsOf-Invoices[[#This Row],[Due Date]]),IF(Invoices[[#This Row],[Paid Date]]="","",MAX(0,Invoices[[#This Row],[Paid Date]]-Invoices[[#This Row],[Due Date]])))</f>
        <v>0</v>
      </c>
      <c r="N67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75" spans="1:14" ht="17.100000000000001" customHeight="1" x14ac:dyDescent="0.2">
      <c r="A675" s="6" t="s">
        <v>703</v>
      </c>
      <c r="B675" s="7">
        <v>46257</v>
      </c>
      <c r="C675" s="8" t="s">
        <v>56</v>
      </c>
      <c r="D675" s="8" t="s">
        <v>17</v>
      </c>
      <c r="E675" s="9">
        <v>30</v>
      </c>
      <c r="F675" s="7">
        <v>46287</v>
      </c>
      <c r="G675" s="10">
        <v>3049.73</v>
      </c>
      <c r="H675" s="10">
        <v>457.46</v>
      </c>
      <c r="I675" s="10">
        <v>3507.19</v>
      </c>
      <c r="J675" s="9" t="s">
        <v>2</v>
      </c>
      <c r="K675" s="7">
        <v>46288</v>
      </c>
      <c r="L675" s="9" t="s">
        <v>3</v>
      </c>
      <c r="M675" s="11" cm="1">
        <f t="array" ref="M675">IF(Invoices[[#This Row],[Status]]="Open",MAX(0,AsOf-Invoices[[#This Row],[Due Date]]),IF(Invoices[[#This Row],[Paid Date]]="","",MAX(0,Invoices[[#This Row],[Paid Date]]-Invoices[[#This Row],[Due Date]])))</f>
        <v>1</v>
      </c>
      <c r="N67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76" spans="1:14" ht="17.100000000000001" customHeight="1" x14ac:dyDescent="0.2">
      <c r="A676" s="6" t="s">
        <v>704</v>
      </c>
      <c r="B676" s="7">
        <v>46258</v>
      </c>
      <c r="C676" s="8" t="s">
        <v>24</v>
      </c>
      <c r="D676" s="8" t="s">
        <v>25</v>
      </c>
      <c r="E676" s="9">
        <v>60</v>
      </c>
      <c r="F676" s="7">
        <v>46318</v>
      </c>
      <c r="G676" s="10">
        <v>7749.55</v>
      </c>
      <c r="H676" s="10">
        <v>1162.43</v>
      </c>
      <c r="I676" s="10">
        <v>8911.98</v>
      </c>
      <c r="J676" s="9" t="s">
        <v>545</v>
      </c>
      <c r="K676" s="7"/>
      <c r="L676" s="9" t="s">
        <v>3</v>
      </c>
      <c r="M676" s="11" cm="1">
        <f t="array" ref="M676">IF(Invoices[[#This Row],[Status]]="Open",MAX(0,AsOf-Invoices[[#This Row],[Due Date]]),IF(Invoices[[#This Row],[Paid Date]]="","",MAX(0,Invoices[[#This Row],[Paid Date]]-Invoices[[#This Row],[Due Date]])))</f>
        <v>0</v>
      </c>
      <c r="N67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77" spans="1:14" ht="17.100000000000001" customHeight="1" x14ac:dyDescent="0.2">
      <c r="A677" s="6" t="s">
        <v>705</v>
      </c>
      <c r="B677" s="7">
        <v>46258</v>
      </c>
      <c r="C677" s="8" t="s">
        <v>5</v>
      </c>
      <c r="D677" s="8" t="s">
        <v>6</v>
      </c>
      <c r="E677" s="9">
        <v>45</v>
      </c>
      <c r="F677" s="7">
        <v>46303</v>
      </c>
      <c r="G677" s="10">
        <v>5943.72</v>
      </c>
      <c r="H677" s="10">
        <v>891.56</v>
      </c>
      <c r="I677" s="10">
        <v>6835.28</v>
      </c>
      <c r="J677" s="9" t="s">
        <v>2</v>
      </c>
      <c r="K677" s="7">
        <v>46302</v>
      </c>
      <c r="L677" s="9" t="s">
        <v>3</v>
      </c>
      <c r="M677" s="11" cm="1">
        <f t="array" ref="M677">IF(Invoices[[#This Row],[Status]]="Open",MAX(0,AsOf-Invoices[[#This Row],[Due Date]]),IF(Invoices[[#This Row],[Paid Date]]="","",MAX(0,Invoices[[#This Row],[Paid Date]]-Invoices[[#This Row],[Due Date]])))</f>
        <v>0</v>
      </c>
      <c r="N67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78" spans="1:14" ht="17.100000000000001" customHeight="1" x14ac:dyDescent="0.2">
      <c r="A678" s="6" t="s">
        <v>706</v>
      </c>
      <c r="B678" s="7">
        <v>46259</v>
      </c>
      <c r="C678" s="8" t="s">
        <v>38</v>
      </c>
      <c r="D678" s="8" t="s">
        <v>39</v>
      </c>
      <c r="E678" s="9">
        <v>15</v>
      </c>
      <c r="F678" s="7">
        <v>46274</v>
      </c>
      <c r="G678" s="10">
        <v>1384.5</v>
      </c>
      <c r="H678" s="10">
        <v>207.67</v>
      </c>
      <c r="I678" s="10">
        <v>1592.17</v>
      </c>
      <c r="J678" s="9" t="s">
        <v>2</v>
      </c>
      <c r="K678" s="7">
        <v>46276</v>
      </c>
      <c r="L678" s="9" t="s">
        <v>3</v>
      </c>
      <c r="M678" s="11" cm="1">
        <f t="array" ref="M678">IF(Invoices[[#This Row],[Status]]="Open",MAX(0,AsOf-Invoices[[#This Row],[Due Date]]),IF(Invoices[[#This Row],[Paid Date]]="","",MAX(0,Invoices[[#This Row],[Paid Date]]-Invoices[[#This Row],[Due Date]])))</f>
        <v>2</v>
      </c>
      <c r="N67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79" spans="1:14" ht="17.100000000000001" customHeight="1" x14ac:dyDescent="0.2">
      <c r="A679" s="6" t="s">
        <v>707</v>
      </c>
      <c r="B679" s="7">
        <v>46259</v>
      </c>
      <c r="C679" s="8" t="s">
        <v>61</v>
      </c>
      <c r="D679" s="8" t="s">
        <v>62</v>
      </c>
      <c r="E679" s="9">
        <v>15</v>
      </c>
      <c r="F679" s="7">
        <v>46274</v>
      </c>
      <c r="G679" s="10">
        <v>632.84</v>
      </c>
      <c r="H679" s="10">
        <v>94.93</v>
      </c>
      <c r="I679" s="10">
        <v>727.77</v>
      </c>
      <c r="J679" s="9" t="s">
        <v>2</v>
      </c>
      <c r="K679" s="7">
        <v>46275</v>
      </c>
      <c r="L679" s="9" t="s">
        <v>3</v>
      </c>
      <c r="M679" s="11" cm="1">
        <f t="array" ref="M679">IF(Invoices[[#This Row],[Status]]="Open",MAX(0,AsOf-Invoices[[#This Row],[Due Date]]),IF(Invoices[[#This Row],[Paid Date]]="","",MAX(0,Invoices[[#This Row],[Paid Date]]-Invoices[[#This Row],[Due Date]])))</f>
        <v>1</v>
      </c>
      <c r="N67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80" spans="1:14" ht="17.100000000000001" customHeight="1" x14ac:dyDescent="0.2">
      <c r="A680" s="6" t="s">
        <v>708</v>
      </c>
      <c r="B680" s="7">
        <v>46259</v>
      </c>
      <c r="C680" s="8" t="s">
        <v>5</v>
      </c>
      <c r="D680" s="8" t="s">
        <v>6</v>
      </c>
      <c r="E680" s="9">
        <v>45</v>
      </c>
      <c r="F680" s="7">
        <v>46304</v>
      </c>
      <c r="G680" s="10">
        <v>9037.9500000000007</v>
      </c>
      <c r="H680" s="10">
        <v>1355.69</v>
      </c>
      <c r="I680" s="10">
        <v>10393.64</v>
      </c>
      <c r="J680" s="9" t="s">
        <v>2</v>
      </c>
      <c r="K680" s="7">
        <v>46301</v>
      </c>
      <c r="L680" s="9" t="s">
        <v>3</v>
      </c>
      <c r="M680" s="11" cm="1">
        <f t="array" ref="M680">IF(Invoices[[#This Row],[Status]]="Open",MAX(0,AsOf-Invoices[[#This Row],[Due Date]]),IF(Invoices[[#This Row],[Paid Date]]="","",MAX(0,Invoices[[#This Row],[Paid Date]]-Invoices[[#This Row],[Due Date]])))</f>
        <v>0</v>
      </c>
      <c r="N68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81" spans="1:14" ht="17.100000000000001" customHeight="1" x14ac:dyDescent="0.2">
      <c r="A681" s="6" t="s">
        <v>709</v>
      </c>
      <c r="B681" s="7">
        <v>46259</v>
      </c>
      <c r="C681" s="8" t="s">
        <v>8</v>
      </c>
      <c r="D681" s="8" t="s">
        <v>6</v>
      </c>
      <c r="E681" s="9">
        <v>45</v>
      </c>
      <c r="F681" s="7">
        <v>46304</v>
      </c>
      <c r="G681" s="10">
        <v>5779.67</v>
      </c>
      <c r="H681" s="10">
        <v>866.95</v>
      </c>
      <c r="I681" s="10">
        <v>6646.62</v>
      </c>
      <c r="J681" s="9" t="s">
        <v>2</v>
      </c>
      <c r="K681" s="7">
        <v>46304</v>
      </c>
      <c r="L681" s="9" t="s">
        <v>3</v>
      </c>
      <c r="M681" s="11" cm="1">
        <f t="array" ref="M681">IF(Invoices[[#This Row],[Status]]="Open",MAX(0,AsOf-Invoices[[#This Row],[Due Date]]),IF(Invoices[[#This Row],[Paid Date]]="","",MAX(0,Invoices[[#This Row],[Paid Date]]-Invoices[[#This Row],[Due Date]])))</f>
        <v>0</v>
      </c>
      <c r="N68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82" spans="1:14" ht="17.100000000000001" customHeight="1" x14ac:dyDescent="0.2">
      <c r="A682" s="6" t="s">
        <v>710</v>
      </c>
      <c r="B682" s="7">
        <v>46259</v>
      </c>
      <c r="C682" s="8" t="s">
        <v>20</v>
      </c>
      <c r="D682" s="8" t="s">
        <v>21</v>
      </c>
      <c r="E682" s="9">
        <v>30</v>
      </c>
      <c r="F682" s="7">
        <v>46289</v>
      </c>
      <c r="G682" s="10">
        <v>2102.5</v>
      </c>
      <c r="H682" s="10">
        <v>315.38</v>
      </c>
      <c r="I682" s="10">
        <v>2417.88</v>
      </c>
      <c r="J682" s="9" t="s">
        <v>2</v>
      </c>
      <c r="K682" s="7">
        <v>46296</v>
      </c>
      <c r="L682" s="9" t="s">
        <v>3</v>
      </c>
      <c r="M682" s="11" cm="1">
        <f t="array" ref="M682">IF(Invoices[[#This Row],[Status]]="Open",MAX(0,AsOf-Invoices[[#This Row],[Due Date]]),IF(Invoices[[#This Row],[Paid Date]]="","",MAX(0,Invoices[[#This Row],[Paid Date]]-Invoices[[#This Row],[Due Date]])))</f>
        <v>7</v>
      </c>
      <c r="N68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83" spans="1:14" ht="17.100000000000001" customHeight="1" x14ac:dyDescent="0.2">
      <c r="A683" s="6" t="s">
        <v>711</v>
      </c>
      <c r="B683" s="7">
        <v>46259</v>
      </c>
      <c r="C683" s="8" t="s">
        <v>10</v>
      </c>
      <c r="D683" s="8" t="s">
        <v>11</v>
      </c>
      <c r="E683" s="9">
        <v>30</v>
      </c>
      <c r="F683" s="7">
        <v>46289</v>
      </c>
      <c r="G683" s="10">
        <v>6265.54</v>
      </c>
      <c r="H683" s="10">
        <v>939.83</v>
      </c>
      <c r="I683" s="10">
        <v>7205.37</v>
      </c>
      <c r="J683" s="9" t="s">
        <v>2</v>
      </c>
      <c r="K683" s="7">
        <v>46296</v>
      </c>
      <c r="L683" s="9" t="s">
        <v>3</v>
      </c>
      <c r="M683" s="11" cm="1">
        <f t="array" ref="M683">IF(Invoices[[#This Row],[Status]]="Open",MAX(0,AsOf-Invoices[[#This Row],[Due Date]]),IF(Invoices[[#This Row],[Paid Date]]="","",MAX(0,Invoices[[#This Row],[Paid Date]]-Invoices[[#This Row],[Due Date]])))</f>
        <v>7</v>
      </c>
      <c r="N68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84" spans="1:14" ht="17.100000000000001" customHeight="1" x14ac:dyDescent="0.2">
      <c r="A684" s="6" t="s">
        <v>712</v>
      </c>
      <c r="B684" s="7">
        <v>46259</v>
      </c>
      <c r="C684" s="8" t="s">
        <v>31</v>
      </c>
      <c r="D684" s="8" t="s">
        <v>6</v>
      </c>
      <c r="E684" s="9">
        <v>60</v>
      </c>
      <c r="F684" s="7">
        <v>46319</v>
      </c>
      <c r="G684" s="10">
        <v>10897.99</v>
      </c>
      <c r="H684" s="10">
        <v>1634.7</v>
      </c>
      <c r="I684" s="10">
        <v>12532.69</v>
      </c>
      <c r="J684" s="9" t="s">
        <v>545</v>
      </c>
      <c r="K684" s="7"/>
      <c r="L684" s="9" t="s">
        <v>3</v>
      </c>
      <c r="M684" s="11" cm="1">
        <f t="array" ref="M684">IF(Invoices[[#This Row],[Status]]="Open",MAX(0,AsOf-Invoices[[#This Row],[Due Date]]),IF(Invoices[[#This Row],[Paid Date]]="","",MAX(0,Invoices[[#This Row],[Paid Date]]-Invoices[[#This Row],[Due Date]])))</f>
        <v>0</v>
      </c>
      <c r="N68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85" spans="1:14" ht="17.100000000000001" customHeight="1" x14ac:dyDescent="0.2">
      <c r="A685" s="6" t="s">
        <v>713</v>
      </c>
      <c r="B685" s="7">
        <v>46260</v>
      </c>
      <c r="C685" s="8" t="s">
        <v>10</v>
      </c>
      <c r="D685" s="8" t="s">
        <v>11</v>
      </c>
      <c r="E685" s="9">
        <v>30</v>
      </c>
      <c r="F685" s="7">
        <v>46260</v>
      </c>
      <c r="G685" s="10">
        <v>-1989.09</v>
      </c>
      <c r="H685" s="10">
        <v>-298.36</v>
      </c>
      <c r="I685" s="10">
        <v>-2287.4499999999998</v>
      </c>
      <c r="J685" s="9" t="s">
        <v>111</v>
      </c>
      <c r="K685" s="7"/>
      <c r="L685" s="9" t="s">
        <v>112</v>
      </c>
      <c r="M685" s="11" t="str" cm="1">
        <f t="array" ref="M685">IF(Invoices[[#This Row],[Status]]="Open",MAX(0,AsOf-Invoices[[#This Row],[Due Date]]),IF(Invoices[[#This Row],[Paid Date]]="","",MAX(0,Invoices[[#This Row],[Paid Date]]-Invoices[[#This Row],[Due Date]])))</f>
        <v/>
      </c>
      <c r="N68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86" spans="1:14" ht="17.100000000000001" customHeight="1" x14ac:dyDescent="0.2">
      <c r="A686" s="6" t="s">
        <v>714</v>
      </c>
      <c r="B686" s="7">
        <v>46260</v>
      </c>
      <c r="C686" s="8" t="s">
        <v>75</v>
      </c>
      <c r="D686" s="8" t="s">
        <v>21</v>
      </c>
      <c r="E686" s="9">
        <v>30</v>
      </c>
      <c r="F686" s="7">
        <v>46290</v>
      </c>
      <c r="G686" s="10">
        <v>4037.89</v>
      </c>
      <c r="H686" s="10">
        <v>605.67999999999995</v>
      </c>
      <c r="I686" s="10">
        <v>4643.57</v>
      </c>
      <c r="J686" s="9" t="s">
        <v>2</v>
      </c>
      <c r="K686" s="7">
        <v>46293</v>
      </c>
      <c r="L686" s="9" t="s">
        <v>3</v>
      </c>
      <c r="M686" s="11" cm="1">
        <f t="array" ref="M686">IF(Invoices[[#This Row],[Status]]="Open",MAX(0,AsOf-Invoices[[#This Row],[Due Date]]),IF(Invoices[[#This Row],[Paid Date]]="","",MAX(0,Invoices[[#This Row],[Paid Date]]-Invoices[[#This Row],[Due Date]])))</f>
        <v>3</v>
      </c>
      <c r="N68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87" spans="1:14" ht="17.100000000000001" customHeight="1" x14ac:dyDescent="0.2">
      <c r="A687" s="6" t="s">
        <v>715</v>
      </c>
      <c r="B687" s="7">
        <v>46260</v>
      </c>
      <c r="C687" s="8" t="s">
        <v>31</v>
      </c>
      <c r="D687" s="8" t="s">
        <v>6</v>
      </c>
      <c r="E687" s="9">
        <v>60</v>
      </c>
      <c r="F687" s="7">
        <v>46320</v>
      </c>
      <c r="G687" s="10">
        <v>7784.37</v>
      </c>
      <c r="H687" s="10">
        <v>1167.6600000000001</v>
      </c>
      <c r="I687" s="10">
        <v>8952.0300000000007</v>
      </c>
      <c r="J687" s="9" t="s">
        <v>545</v>
      </c>
      <c r="K687" s="7"/>
      <c r="L687" s="9" t="s">
        <v>3</v>
      </c>
      <c r="M687" s="11" cm="1">
        <f t="array" ref="M687">IF(Invoices[[#This Row],[Status]]="Open",MAX(0,AsOf-Invoices[[#This Row],[Due Date]]),IF(Invoices[[#This Row],[Paid Date]]="","",MAX(0,Invoices[[#This Row],[Paid Date]]-Invoices[[#This Row],[Due Date]])))</f>
        <v>0</v>
      </c>
      <c r="N68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88" spans="1:14" ht="17.100000000000001" customHeight="1" x14ac:dyDescent="0.2">
      <c r="A688" s="6" t="s">
        <v>716</v>
      </c>
      <c r="B688" s="7">
        <v>46260</v>
      </c>
      <c r="C688" s="8" t="s">
        <v>13</v>
      </c>
      <c r="D688" s="8" t="s">
        <v>1</v>
      </c>
      <c r="E688" s="9">
        <v>30</v>
      </c>
      <c r="F688" s="7">
        <v>46290</v>
      </c>
      <c r="G688" s="10">
        <v>4475.05</v>
      </c>
      <c r="H688" s="10">
        <v>671.26</v>
      </c>
      <c r="I688" s="10">
        <v>5146.3100000000004</v>
      </c>
      <c r="J688" s="9" t="s">
        <v>2</v>
      </c>
      <c r="K688" s="7">
        <v>46291</v>
      </c>
      <c r="L688" s="9" t="s">
        <v>3</v>
      </c>
      <c r="M688" s="11" cm="1">
        <f t="array" ref="M688">IF(Invoices[[#This Row],[Status]]="Open",MAX(0,AsOf-Invoices[[#This Row],[Due Date]]),IF(Invoices[[#This Row],[Paid Date]]="","",MAX(0,Invoices[[#This Row],[Paid Date]]-Invoices[[#This Row],[Due Date]])))</f>
        <v>1</v>
      </c>
      <c r="N68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89" spans="1:14" ht="17.100000000000001" customHeight="1" x14ac:dyDescent="0.2">
      <c r="A689" s="6" t="s">
        <v>717</v>
      </c>
      <c r="B689" s="7">
        <v>46261</v>
      </c>
      <c r="C689" s="8" t="s">
        <v>34</v>
      </c>
      <c r="D689" s="8" t="s">
        <v>21</v>
      </c>
      <c r="E689" s="9">
        <v>30</v>
      </c>
      <c r="F689" s="7">
        <v>46261</v>
      </c>
      <c r="G689" s="10">
        <v>-539.58000000000004</v>
      </c>
      <c r="H689" s="10">
        <v>-80.94</v>
      </c>
      <c r="I689" s="10">
        <v>-620.52</v>
      </c>
      <c r="J689" s="9" t="s">
        <v>111</v>
      </c>
      <c r="K689" s="7"/>
      <c r="L689" s="9" t="s">
        <v>112</v>
      </c>
      <c r="M689" s="11" t="str" cm="1">
        <f t="array" ref="M689">IF(Invoices[[#This Row],[Status]]="Open",MAX(0,AsOf-Invoices[[#This Row],[Due Date]]),IF(Invoices[[#This Row],[Paid Date]]="","",MAX(0,Invoices[[#This Row],[Paid Date]]-Invoices[[#This Row],[Due Date]])))</f>
        <v/>
      </c>
      <c r="N68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90" spans="1:14" ht="17.100000000000001" customHeight="1" x14ac:dyDescent="0.2">
      <c r="A690" s="6" t="s">
        <v>718</v>
      </c>
      <c r="B690" s="7">
        <v>46261</v>
      </c>
      <c r="C690" s="8" t="s">
        <v>13</v>
      </c>
      <c r="D690" s="8" t="s">
        <v>1</v>
      </c>
      <c r="E690" s="9">
        <v>30</v>
      </c>
      <c r="F690" s="7">
        <v>46291</v>
      </c>
      <c r="G690" s="10">
        <v>5111.62</v>
      </c>
      <c r="H690" s="10">
        <v>766.74</v>
      </c>
      <c r="I690" s="10">
        <v>5878.36</v>
      </c>
      <c r="J690" s="9" t="s">
        <v>2</v>
      </c>
      <c r="K690" s="7">
        <v>46286</v>
      </c>
      <c r="L690" s="9" t="s">
        <v>3</v>
      </c>
      <c r="M690" s="11" cm="1">
        <f t="array" ref="M690">IF(Invoices[[#This Row],[Status]]="Open",MAX(0,AsOf-Invoices[[#This Row],[Due Date]]),IF(Invoices[[#This Row],[Paid Date]]="","",MAX(0,Invoices[[#This Row],[Paid Date]]-Invoices[[#This Row],[Due Date]])))</f>
        <v>0</v>
      </c>
      <c r="N69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91" spans="1:14" ht="17.100000000000001" customHeight="1" x14ac:dyDescent="0.2">
      <c r="A691" s="6" t="s">
        <v>719</v>
      </c>
      <c r="B691" s="7">
        <v>46261</v>
      </c>
      <c r="C691" s="8" t="s">
        <v>5</v>
      </c>
      <c r="D691" s="8" t="s">
        <v>6</v>
      </c>
      <c r="E691" s="9">
        <v>45</v>
      </c>
      <c r="F691" s="7">
        <v>46306</v>
      </c>
      <c r="G691" s="10">
        <v>9026.59</v>
      </c>
      <c r="H691" s="10">
        <v>1353.99</v>
      </c>
      <c r="I691" s="10">
        <v>10380.58</v>
      </c>
      <c r="J691" s="9" t="s">
        <v>2</v>
      </c>
      <c r="K691" s="7">
        <v>46303</v>
      </c>
      <c r="L691" s="9" t="s">
        <v>3</v>
      </c>
      <c r="M691" s="11" cm="1">
        <f t="array" ref="M691">IF(Invoices[[#This Row],[Status]]="Open",MAX(0,AsOf-Invoices[[#This Row],[Due Date]]),IF(Invoices[[#This Row],[Paid Date]]="","",MAX(0,Invoices[[#This Row],[Paid Date]]-Invoices[[#This Row],[Due Date]])))</f>
        <v>0</v>
      </c>
      <c r="N69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92" spans="1:14" ht="17.100000000000001" customHeight="1" x14ac:dyDescent="0.2">
      <c r="A692" s="6" t="s">
        <v>720</v>
      </c>
      <c r="B692" s="7">
        <v>46264</v>
      </c>
      <c r="C692" s="8" t="s">
        <v>31</v>
      </c>
      <c r="D692" s="8" t="s">
        <v>6</v>
      </c>
      <c r="E692" s="9">
        <v>60</v>
      </c>
      <c r="F692" s="7">
        <v>46324</v>
      </c>
      <c r="G692" s="10">
        <v>9028.5300000000007</v>
      </c>
      <c r="H692" s="10">
        <v>1354.28</v>
      </c>
      <c r="I692" s="10">
        <v>10382.81</v>
      </c>
      <c r="J692" s="9" t="s">
        <v>545</v>
      </c>
      <c r="K692" s="7"/>
      <c r="L692" s="9" t="s">
        <v>3</v>
      </c>
      <c r="M692" s="11" cm="1">
        <f t="array" ref="M692">IF(Invoices[[#This Row],[Status]]="Open",MAX(0,AsOf-Invoices[[#This Row],[Due Date]]),IF(Invoices[[#This Row],[Paid Date]]="","",MAX(0,Invoices[[#This Row],[Paid Date]]-Invoices[[#This Row],[Due Date]])))</f>
        <v>0</v>
      </c>
      <c r="N69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93" spans="1:14" ht="17.100000000000001" customHeight="1" x14ac:dyDescent="0.2">
      <c r="A693" s="6" t="s">
        <v>721</v>
      </c>
      <c r="B693" s="7">
        <v>46264</v>
      </c>
      <c r="C693" s="8" t="s">
        <v>45</v>
      </c>
      <c r="D693" s="8" t="s">
        <v>17</v>
      </c>
      <c r="E693" s="9">
        <v>30</v>
      </c>
      <c r="F693" s="7">
        <v>46294</v>
      </c>
      <c r="G693" s="10">
        <v>2356.34</v>
      </c>
      <c r="H693" s="10">
        <v>353.45</v>
      </c>
      <c r="I693" s="10">
        <v>2709.79</v>
      </c>
      <c r="J693" s="9" t="s">
        <v>2</v>
      </c>
      <c r="K693" s="7">
        <v>46300</v>
      </c>
      <c r="L693" s="9" t="s">
        <v>3</v>
      </c>
      <c r="M693" s="11" cm="1">
        <f t="array" ref="M693">IF(Invoices[[#This Row],[Status]]="Open",MAX(0,AsOf-Invoices[[#This Row],[Due Date]]),IF(Invoices[[#This Row],[Paid Date]]="","",MAX(0,Invoices[[#This Row],[Paid Date]]-Invoices[[#This Row],[Due Date]])))</f>
        <v>6</v>
      </c>
      <c r="N69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94" spans="1:14" ht="17.100000000000001" customHeight="1" x14ac:dyDescent="0.2">
      <c r="A694" s="6" t="s">
        <v>722</v>
      </c>
      <c r="B694" s="7">
        <v>46264</v>
      </c>
      <c r="C694" s="8" t="s">
        <v>56</v>
      </c>
      <c r="D694" s="8" t="s">
        <v>17</v>
      </c>
      <c r="E694" s="9">
        <v>30</v>
      </c>
      <c r="F694" s="7">
        <v>46294</v>
      </c>
      <c r="G694" s="10">
        <v>3685.95</v>
      </c>
      <c r="H694" s="10">
        <v>552.89</v>
      </c>
      <c r="I694" s="10">
        <v>4238.84</v>
      </c>
      <c r="J694" s="9" t="s">
        <v>2</v>
      </c>
      <c r="K694" s="7">
        <v>46304</v>
      </c>
      <c r="L694" s="9" t="s">
        <v>3</v>
      </c>
      <c r="M694" s="11" cm="1">
        <f t="array" ref="M694">IF(Invoices[[#This Row],[Status]]="Open",MAX(0,AsOf-Invoices[[#This Row],[Due Date]]),IF(Invoices[[#This Row],[Paid Date]]="","",MAX(0,Invoices[[#This Row],[Paid Date]]-Invoices[[#This Row],[Due Date]])))</f>
        <v>10</v>
      </c>
      <c r="N69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95" spans="1:14" ht="17.100000000000001" customHeight="1" x14ac:dyDescent="0.2">
      <c r="A695" s="6" t="s">
        <v>723</v>
      </c>
      <c r="B695" s="7">
        <v>46266</v>
      </c>
      <c r="C695" s="8" t="s">
        <v>69</v>
      </c>
      <c r="D695" s="8" t="s">
        <v>6</v>
      </c>
      <c r="E695" s="9">
        <v>45</v>
      </c>
      <c r="F695" s="7">
        <v>46266</v>
      </c>
      <c r="G695" s="10">
        <v>-23239.34</v>
      </c>
      <c r="H695" s="10">
        <v>-3485.9</v>
      </c>
      <c r="I695" s="10">
        <v>-26725.24</v>
      </c>
      <c r="J695" s="9" t="s">
        <v>111</v>
      </c>
      <c r="K695" s="7"/>
      <c r="L695" s="9" t="s">
        <v>112</v>
      </c>
      <c r="M695" s="11" t="str" cm="1">
        <f t="array" ref="M695">IF(Invoices[[#This Row],[Status]]="Open",MAX(0,AsOf-Invoices[[#This Row],[Due Date]]),IF(Invoices[[#This Row],[Paid Date]]="","",MAX(0,Invoices[[#This Row],[Paid Date]]-Invoices[[#This Row],[Due Date]])))</f>
        <v/>
      </c>
      <c r="N69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96" spans="1:14" ht="17.100000000000001" customHeight="1" x14ac:dyDescent="0.2">
      <c r="A696" s="6" t="s">
        <v>724</v>
      </c>
      <c r="B696" s="7">
        <v>46266</v>
      </c>
      <c r="C696" s="8" t="s">
        <v>8</v>
      </c>
      <c r="D696" s="8" t="s">
        <v>6</v>
      </c>
      <c r="E696" s="9">
        <v>45</v>
      </c>
      <c r="F696" s="7">
        <v>46311</v>
      </c>
      <c r="G696" s="10">
        <v>4447.58</v>
      </c>
      <c r="H696" s="10">
        <v>667.14</v>
      </c>
      <c r="I696" s="10">
        <v>5114.72</v>
      </c>
      <c r="J696" s="9" t="s">
        <v>545</v>
      </c>
      <c r="K696" s="7"/>
      <c r="L696" s="9" t="s">
        <v>3</v>
      </c>
      <c r="M696" s="11" cm="1">
        <f t="array" ref="M696">IF(Invoices[[#This Row],[Status]]="Open",MAX(0,AsOf-Invoices[[#This Row],[Due Date]]),IF(Invoices[[#This Row],[Paid Date]]="","",MAX(0,Invoices[[#This Row],[Paid Date]]-Invoices[[#This Row],[Due Date]])))</f>
        <v>0</v>
      </c>
      <c r="N69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97" spans="1:14" ht="17.100000000000001" customHeight="1" x14ac:dyDescent="0.2">
      <c r="A697" s="6" t="s">
        <v>725</v>
      </c>
      <c r="B697" s="7">
        <v>46266</v>
      </c>
      <c r="C697" s="8" t="s">
        <v>34</v>
      </c>
      <c r="D697" s="8" t="s">
        <v>21</v>
      </c>
      <c r="E697" s="9">
        <v>30</v>
      </c>
      <c r="F697" s="7">
        <v>46296</v>
      </c>
      <c r="G697" s="10">
        <v>3164.12</v>
      </c>
      <c r="H697" s="10">
        <v>474.62</v>
      </c>
      <c r="I697" s="10">
        <v>3638.74</v>
      </c>
      <c r="J697" s="9" t="s">
        <v>2</v>
      </c>
      <c r="K697" s="7">
        <v>46291</v>
      </c>
      <c r="L697" s="9" t="s">
        <v>3</v>
      </c>
      <c r="M697" s="11" cm="1">
        <f t="array" ref="M697">IF(Invoices[[#This Row],[Status]]="Open",MAX(0,AsOf-Invoices[[#This Row],[Due Date]]),IF(Invoices[[#This Row],[Paid Date]]="","",MAX(0,Invoices[[#This Row],[Paid Date]]-Invoices[[#This Row],[Due Date]])))</f>
        <v>0</v>
      </c>
      <c r="N69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98" spans="1:14" ht="17.100000000000001" customHeight="1" x14ac:dyDescent="0.2">
      <c r="A698" s="6" t="s">
        <v>726</v>
      </c>
      <c r="B698" s="7">
        <v>46266</v>
      </c>
      <c r="C698" s="8" t="s">
        <v>31</v>
      </c>
      <c r="D698" s="8" t="s">
        <v>6</v>
      </c>
      <c r="E698" s="9">
        <v>60</v>
      </c>
      <c r="F698" s="7">
        <v>46326</v>
      </c>
      <c r="G698" s="10">
        <v>12170.75</v>
      </c>
      <c r="H698" s="10">
        <v>1825.61</v>
      </c>
      <c r="I698" s="10">
        <v>13996.36</v>
      </c>
      <c r="J698" s="9" t="s">
        <v>545</v>
      </c>
      <c r="K698" s="7"/>
      <c r="L698" s="9" t="s">
        <v>3</v>
      </c>
      <c r="M698" s="11" cm="1">
        <f t="array" ref="M698">IF(Invoices[[#This Row],[Status]]="Open",MAX(0,AsOf-Invoices[[#This Row],[Due Date]]),IF(Invoices[[#This Row],[Paid Date]]="","",MAX(0,Invoices[[#This Row],[Paid Date]]-Invoices[[#This Row],[Due Date]])))</f>
        <v>0</v>
      </c>
      <c r="N69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699" spans="1:14" ht="17.100000000000001" customHeight="1" x14ac:dyDescent="0.2">
      <c r="A699" s="6" t="s">
        <v>727</v>
      </c>
      <c r="B699" s="7">
        <v>46266</v>
      </c>
      <c r="C699" s="8" t="s">
        <v>38</v>
      </c>
      <c r="D699" s="8" t="s">
        <v>39</v>
      </c>
      <c r="E699" s="9">
        <v>15</v>
      </c>
      <c r="F699" s="7">
        <v>46281</v>
      </c>
      <c r="G699" s="10">
        <v>2685.78</v>
      </c>
      <c r="H699" s="10">
        <v>402.87</v>
      </c>
      <c r="I699" s="10">
        <v>3088.65</v>
      </c>
      <c r="J699" s="9" t="s">
        <v>2</v>
      </c>
      <c r="K699" s="7">
        <v>46280</v>
      </c>
      <c r="L699" s="9" t="s">
        <v>3</v>
      </c>
      <c r="M699" s="11" cm="1">
        <f t="array" ref="M699">IF(Invoices[[#This Row],[Status]]="Open",MAX(0,AsOf-Invoices[[#This Row],[Due Date]]),IF(Invoices[[#This Row],[Paid Date]]="","",MAX(0,Invoices[[#This Row],[Paid Date]]-Invoices[[#This Row],[Due Date]])))</f>
        <v>0</v>
      </c>
      <c r="N69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00" spans="1:14" ht="17.100000000000001" customHeight="1" x14ac:dyDescent="0.2">
      <c r="A700" s="6" t="s">
        <v>728</v>
      </c>
      <c r="B700" s="7">
        <v>46266</v>
      </c>
      <c r="C700" s="8" t="s">
        <v>31</v>
      </c>
      <c r="D700" s="8" t="s">
        <v>6</v>
      </c>
      <c r="E700" s="9">
        <v>60</v>
      </c>
      <c r="F700" s="7">
        <v>46326</v>
      </c>
      <c r="G700" s="10">
        <v>10315.85</v>
      </c>
      <c r="H700" s="10">
        <v>1547.38</v>
      </c>
      <c r="I700" s="10">
        <v>11863.23</v>
      </c>
      <c r="J700" s="9" t="s">
        <v>545</v>
      </c>
      <c r="K700" s="7"/>
      <c r="L700" s="9" t="s">
        <v>3</v>
      </c>
      <c r="M700" s="11" cm="1">
        <f t="array" ref="M700">IF(Invoices[[#This Row],[Status]]="Open",MAX(0,AsOf-Invoices[[#This Row],[Due Date]]),IF(Invoices[[#This Row],[Paid Date]]="","",MAX(0,Invoices[[#This Row],[Paid Date]]-Invoices[[#This Row],[Due Date]])))</f>
        <v>0</v>
      </c>
      <c r="N70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01" spans="1:14" ht="17.100000000000001" customHeight="1" x14ac:dyDescent="0.2">
      <c r="A701" s="6" t="s">
        <v>729</v>
      </c>
      <c r="B701" s="7">
        <v>46266</v>
      </c>
      <c r="C701" s="8" t="s">
        <v>31</v>
      </c>
      <c r="D701" s="8" t="s">
        <v>6</v>
      </c>
      <c r="E701" s="9">
        <v>60</v>
      </c>
      <c r="F701" s="7">
        <v>46326</v>
      </c>
      <c r="G701" s="10">
        <v>12720.19</v>
      </c>
      <c r="H701" s="10">
        <v>1908.03</v>
      </c>
      <c r="I701" s="10">
        <v>14628.22</v>
      </c>
      <c r="J701" s="9" t="s">
        <v>545</v>
      </c>
      <c r="K701" s="7"/>
      <c r="L701" s="9" t="s">
        <v>3</v>
      </c>
      <c r="M701" s="11" cm="1">
        <f t="array" ref="M701">IF(Invoices[[#This Row],[Status]]="Open",MAX(0,AsOf-Invoices[[#This Row],[Due Date]]),IF(Invoices[[#This Row],[Paid Date]]="","",MAX(0,Invoices[[#This Row],[Paid Date]]-Invoices[[#This Row],[Due Date]])))</f>
        <v>0</v>
      </c>
      <c r="N70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02" spans="1:14" ht="17.100000000000001" customHeight="1" x14ac:dyDescent="0.2">
      <c r="A702" s="6" t="s">
        <v>730</v>
      </c>
      <c r="B702" s="7">
        <v>46267</v>
      </c>
      <c r="C702" s="8" t="s">
        <v>24</v>
      </c>
      <c r="D702" s="8" t="s">
        <v>25</v>
      </c>
      <c r="E702" s="9">
        <v>60</v>
      </c>
      <c r="F702" s="7">
        <v>46327</v>
      </c>
      <c r="G702" s="10">
        <v>9638.25</v>
      </c>
      <c r="H702" s="10">
        <v>1445.74</v>
      </c>
      <c r="I702" s="10">
        <v>11083.99</v>
      </c>
      <c r="J702" s="9" t="s">
        <v>545</v>
      </c>
      <c r="K702" s="7"/>
      <c r="L702" s="9" t="s">
        <v>3</v>
      </c>
      <c r="M702" s="11" cm="1">
        <f t="array" ref="M702">IF(Invoices[[#This Row],[Status]]="Open",MAX(0,AsOf-Invoices[[#This Row],[Due Date]]),IF(Invoices[[#This Row],[Paid Date]]="","",MAX(0,Invoices[[#This Row],[Paid Date]]-Invoices[[#This Row],[Due Date]])))</f>
        <v>0</v>
      </c>
      <c r="N70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03" spans="1:14" ht="17.100000000000001" customHeight="1" x14ac:dyDescent="0.2">
      <c r="A703" s="6" t="s">
        <v>731</v>
      </c>
      <c r="B703" s="7">
        <v>46267</v>
      </c>
      <c r="C703" s="8" t="s">
        <v>54</v>
      </c>
      <c r="D703" s="8" t="s">
        <v>11</v>
      </c>
      <c r="E703" s="9">
        <v>30</v>
      </c>
      <c r="F703" s="7">
        <v>46297</v>
      </c>
      <c r="G703" s="10">
        <v>8164.37</v>
      </c>
      <c r="H703" s="10">
        <v>1224.6600000000001</v>
      </c>
      <c r="I703" s="10">
        <v>9389.0300000000007</v>
      </c>
      <c r="J703" s="9" t="s">
        <v>2</v>
      </c>
      <c r="K703" s="7">
        <v>46307</v>
      </c>
      <c r="L703" s="9" t="s">
        <v>3</v>
      </c>
      <c r="M703" s="11" cm="1">
        <f t="array" ref="M703">IF(Invoices[[#This Row],[Status]]="Open",MAX(0,AsOf-Invoices[[#This Row],[Due Date]]),IF(Invoices[[#This Row],[Paid Date]]="","",MAX(0,Invoices[[#This Row],[Paid Date]]-Invoices[[#This Row],[Due Date]])))</f>
        <v>10</v>
      </c>
      <c r="N70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04" spans="1:14" ht="17.100000000000001" customHeight="1" x14ac:dyDescent="0.2">
      <c r="A704" s="6" t="s">
        <v>732</v>
      </c>
      <c r="B704" s="7">
        <v>46267</v>
      </c>
      <c r="C704" s="8" t="s">
        <v>13</v>
      </c>
      <c r="D704" s="8" t="s">
        <v>1</v>
      </c>
      <c r="E704" s="9">
        <v>30</v>
      </c>
      <c r="F704" s="7">
        <v>46297</v>
      </c>
      <c r="G704" s="10">
        <v>7210.88</v>
      </c>
      <c r="H704" s="10">
        <v>1081.6300000000001</v>
      </c>
      <c r="I704" s="10">
        <v>8292.51</v>
      </c>
      <c r="J704" s="9" t="s">
        <v>2</v>
      </c>
      <c r="K704" s="7">
        <v>46299</v>
      </c>
      <c r="L704" s="9" t="s">
        <v>3</v>
      </c>
      <c r="M704" s="11" cm="1">
        <f t="array" ref="M704">IF(Invoices[[#This Row],[Status]]="Open",MAX(0,AsOf-Invoices[[#This Row],[Due Date]]),IF(Invoices[[#This Row],[Paid Date]]="","",MAX(0,Invoices[[#This Row],[Paid Date]]-Invoices[[#This Row],[Due Date]])))</f>
        <v>2</v>
      </c>
      <c r="N70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05" spans="1:14" ht="17.100000000000001" customHeight="1" x14ac:dyDescent="0.2">
      <c r="A705" s="6" t="s">
        <v>733</v>
      </c>
      <c r="B705" s="7">
        <v>46268</v>
      </c>
      <c r="C705" s="8" t="s">
        <v>31</v>
      </c>
      <c r="D705" s="8" t="s">
        <v>6</v>
      </c>
      <c r="E705" s="9">
        <v>60</v>
      </c>
      <c r="F705" s="7">
        <v>46328</v>
      </c>
      <c r="G705" s="10">
        <v>4749.66</v>
      </c>
      <c r="H705" s="10">
        <v>712.45</v>
      </c>
      <c r="I705" s="10">
        <v>5462.11</v>
      </c>
      <c r="J705" s="9" t="s">
        <v>545</v>
      </c>
      <c r="K705" s="7"/>
      <c r="L705" s="9" t="s">
        <v>3</v>
      </c>
      <c r="M705" s="11" cm="1">
        <f t="array" ref="M705">IF(Invoices[[#This Row],[Status]]="Open",MAX(0,AsOf-Invoices[[#This Row],[Due Date]]),IF(Invoices[[#This Row],[Paid Date]]="","",MAX(0,Invoices[[#This Row],[Paid Date]]-Invoices[[#This Row],[Due Date]])))</f>
        <v>0</v>
      </c>
      <c r="N70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06" spans="1:14" ht="17.100000000000001" customHeight="1" x14ac:dyDescent="0.2">
      <c r="A706" s="6" t="s">
        <v>734</v>
      </c>
      <c r="B706" s="7">
        <v>46268</v>
      </c>
      <c r="C706" s="8" t="s">
        <v>54</v>
      </c>
      <c r="D706" s="8" t="s">
        <v>11</v>
      </c>
      <c r="E706" s="9">
        <v>30</v>
      </c>
      <c r="F706" s="7">
        <v>46298</v>
      </c>
      <c r="G706" s="10">
        <v>5270.13</v>
      </c>
      <c r="H706" s="10">
        <v>790.52</v>
      </c>
      <c r="I706" s="10">
        <v>6060.65</v>
      </c>
      <c r="J706" s="9" t="s">
        <v>545</v>
      </c>
      <c r="K706" s="7"/>
      <c r="L706" s="9" t="s">
        <v>3</v>
      </c>
      <c r="M706" s="11" cm="1">
        <f t="array" ref="M706">IF(Invoices[[#This Row],[Status]]="Open",MAX(0,AsOf-Invoices[[#This Row],[Due Date]]),IF(Invoices[[#This Row],[Paid Date]]="","",MAX(0,Invoices[[#This Row],[Paid Date]]-Invoices[[#This Row],[Due Date]])))</f>
        <v>12</v>
      </c>
      <c r="N70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07" spans="1:14" ht="17.100000000000001" customHeight="1" x14ac:dyDescent="0.2">
      <c r="A707" s="6" t="s">
        <v>735</v>
      </c>
      <c r="B707" s="7">
        <v>46271</v>
      </c>
      <c r="C707" s="8" t="s">
        <v>56</v>
      </c>
      <c r="D707" s="8" t="s">
        <v>17</v>
      </c>
      <c r="E707" s="9">
        <v>30</v>
      </c>
      <c r="F707" s="7">
        <v>46301</v>
      </c>
      <c r="G707" s="10">
        <v>3501.88</v>
      </c>
      <c r="H707" s="10">
        <v>525.28</v>
      </c>
      <c r="I707" s="10">
        <v>4027.16</v>
      </c>
      <c r="J707" s="9" t="s">
        <v>2</v>
      </c>
      <c r="K707" s="7">
        <v>46304</v>
      </c>
      <c r="L707" s="9" t="s">
        <v>3</v>
      </c>
      <c r="M707" s="11" cm="1">
        <f t="array" ref="M707">IF(Invoices[[#This Row],[Status]]="Open",MAX(0,AsOf-Invoices[[#This Row],[Due Date]]),IF(Invoices[[#This Row],[Paid Date]]="","",MAX(0,Invoices[[#This Row],[Paid Date]]-Invoices[[#This Row],[Due Date]])))</f>
        <v>3</v>
      </c>
      <c r="N70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08" spans="1:14" ht="17.100000000000001" customHeight="1" x14ac:dyDescent="0.2">
      <c r="A708" s="6" t="s">
        <v>736</v>
      </c>
      <c r="B708" s="7">
        <v>46271</v>
      </c>
      <c r="C708" s="8" t="s">
        <v>13</v>
      </c>
      <c r="D708" s="8" t="s">
        <v>1</v>
      </c>
      <c r="E708" s="9">
        <v>30</v>
      </c>
      <c r="F708" s="7">
        <v>46301</v>
      </c>
      <c r="G708" s="10">
        <v>4863.76</v>
      </c>
      <c r="H708" s="10">
        <v>729.56</v>
      </c>
      <c r="I708" s="10">
        <v>5593.32</v>
      </c>
      <c r="J708" s="9" t="s">
        <v>2</v>
      </c>
      <c r="K708" s="7">
        <v>46302</v>
      </c>
      <c r="L708" s="9" t="s">
        <v>3</v>
      </c>
      <c r="M708" s="11" cm="1">
        <f t="array" ref="M708">IF(Invoices[[#This Row],[Status]]="Open",MAX(0,AsOf-Invoices[[#This Row],[Due Date]]),IF(Invoices[[#This Row],[Paid Date]]="","",MAX(0,Invoices[[#This Row],[Paid Date]]-Invoices[[#This Row],[Due Date]])))</f>
        <v>1</v>
      </c>
      <c r="N70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09" spans="1:14" ht="17.100000000000001" customHeight="1" x14ac:dyDescent="0.2">
      <c r="A709" s="6" t="s">
        <v>737</v>
      </c>
      <c r="B709" s="7">
        <v>46271</v>
      </c>
      <c r="C709" s="8" t="s">
        <v>31</v>
      </c>
      <c r="D709" s="8" t="s">
        <v>6</v>
      </c>
      <c r="E709" s="9">
        <v>60</v>
      </c>
      <c r="F709" s="7">
        <v>46331</v>
      </c>
      <c r="G709" s="10">
        <v>3705.57</v>
      </c>
      <c r="H709" s="10">
        <v>555.84</v>
      </c>
      <c r="I709" s="10">
        <v>4261.41</v>
      </c>
      <c r="J709" s="9" t="s">
        <v>545</v>
      </c>
      <c r="K709" s="7"/>
      <c r="L709" s="9" t="s">
        <v>3</v>
      </c>
      <c r="M709" s="11" cm="1">
        <f t="array" ref="M709">IF(Invoices[[#This Row],[Status]]="Open",MAX(0,AsOf-Invoices[[#This Row],[Due Date]]),IF(Invoices[[#This Row],[Paid Date]]="","",MAX(0,Invoices[[#This Row],[Paid Date]]-Invoices[[#This Row],[Due Date]])))</f>
        <v>0</v>
      </c>
      <c r="N70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10" spans="1:14" ht="17.100000000000001" customHeight="1" x14ac:dyDescent="0.2">
      <c r="A710" s="6" t="s">
        <v>738</v>
      </c>
      <c r="B710" s="7">
        <v>46271</v>
      </c>
      <c r="C710" s="8" t="s">
        <v>75</v>
      </c>
      <c r="D710" s="8" t="s">
        <v>21</v>
      </c>
      <c r="E710" s="9">
        <v>30</v>
      </c>
      <c r="F710" s="7">
        <v>46301</v>
      </c>
      <c r="G710" s="10">
        <v>3078.59</v>
      </c>
      <c r="H710" s="10">
        <v>461.79</v>
      </c>
      <c r="I710" s="10">
        <v>3540.38</v>
      </c>
      <c r="J710" s="9" t="s">
        <v>2</v>
      </c>
      <c r="K710" s="7">
        <v>46296</v>
      </c>
      <c r="L710" s="9" t="s">
        <v>3</v>
      </c>
      <c r="M710" s="11" cm="1">
        <f t="array" ref="M710">IF(Invoices[[#This Row],[Status]]="Open",MAX(0,AsOf-Invoices[[#This Row],[Due Date]]),IF(Invoices[[#This Row],[Paid Date]]="","",MAX(0,Invoices[[#This Row],[Paid Date]]-Invoices[[#This Row],[Due Date]])))</f>
        <v>0</v>
      </c>
      <c r="N71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11" spans="1:14" ht="17.100000000000001" customHeight="1" x14ac:dyDescent="0.2">
      <c r="A711" s="6" t="s">
        <v>739</v>
      </c>
      <c r="B711" s="7">
        <v>46272</v>
      </c>
      <c r="C711" s="8" t="s">
        <v>66</v>
      </c>
      <c r="D711" s="8" t="s">
        <v>62</v>
      </c>
      <c r="E711" s="9">
        <v>15</v>
      </c>
      <c r="F711" s="7">
        <v>46287</v>
      </c>
      <c r="G711" s="10">
        <v>1806.55</v>
      </c>
      <c r="H711" s="10">
        <v>270.98</v>
      </c>
      <c r="I711" s="10">
        <v>2077.5300000000002</v>
      </c>
      <c r="J711" s="9" t="s">
        <v>2</v>
      </c>
      <c r="K711" s="7">
        <v>46293</v>
      </c>
      <c r="L711" s="9" t="s">
        <v>3</v>
      </c>
      <c r="M711" s="11" cm="1">
        <f t="array" ref="M711">IF(Invoices[[#This Row],[Status]]="Open",MAX(0,AsOf-Invoices[[#This Row],[Due Date]]),IF(Invoices[[#This Row],[Paid Date]]="","",MAX(0,Invoices[[#This Row],[Paid Date]]-Invoices[[#This Row],[Due Date]])))</f>
        <v>6</v>
      </c>
      <c r="N71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12" spans="1:14" ht="17.100000000000001" customHeight="1" x14ac:dyDescent="0.2">
      <c r="A712" s="6" t="s">
        <v>740</v>
      </c>
      <c r="B712" s="7">
        <v>46272</v>
      </c>
      <c r="C712" s="8" t="s">
        <v>24</v>
      </c>
      <c r="D712" s="8" t="s">
        <v>25</v>
      </c>
      <c r="E712" s="9">
        <v>60</v>
      </c>
      <c r="F712" s="7">
        <v>46332</v>
      </c>
      <c r="G712" s="10">
        <v>9429.26</v>
      </c>
      <c r="H712" s="10">
        <v>1414.39</v>
      </c>
      <c r="I712" s="10">
        <v>10843.65</v>
      </c>
      <c r="J712" s="9" t="s">
        <v>545</v>
      </c>
      <c r="K712" s="7"/>
      <c r="L712" s="9" t="s">
        <v>3</v>
      </c>
      <c r="M712" s="11" cm="1">
        <f t="array" ref="M712">IF(Invoices[[#This Row],[Status]]="Open",MAX(0,AsOf-Invoices[[#This Row],[Due Date]]),IF(Invoices[[#This Row],[Paid Date]]="","",MAX(0,Invoices[[#This Row],[Paid Date]]-Invoices[[#This Row],[Due Date]])))</f>
        <v>0</v>
      </c>
      <c r="N71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13" spans="1:14" ht="17.100000000000001" customHeight="1" x14ac:dyDescent="0.2">
      <c r="A713" s="6" t="s">
        <v>741</v>
      </c>
      <c r="B713" s="7">
        <v>46272</v>
      </c>
      <c r="C713" s="8" t="s">
        <v>31</v>
      </c>
      <c r="D713" s="8" t="s">
        <v>6</v>
      </c>
      <c r="E713" s="9">
        <v>60</v>
      </c>
      <c r="F713" s="7">
        <v>46332</v>
      </c>
      <c r="G713" s="10">
        <v>13548.14</v>
      </c>
      <c r="H713" s="10">
        <v>2032.22</v>
      </c>
      <c r="I713" s="10">
        <v>15580.36</v>
      </c>
      <c r="J713" s="9" t="s">
        <v>545</v>
      </c>
      <c r="K713" s="7"/>
      <c r="L713" s="9" t="s">
        <v>3</v>
      </c>
      <c r="M713" s="11" cm="1">
        <f t="array" ref="M713">IF(Invoices[[#This Row],[Status]]="Open",MAX(0,AsOf-Invoices[[#This Row],[Due Date]]),IF(Invoices[[#This Row],[Paid Date]]="","",MAX(0,Invoices[[#This Row],[Paid Date]]-Invoices[[#This Row],[Due Date]])))</f>
        <v>0</v>
      </c>
      <c r="N71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14" spans="1:14" ht="17.100000000000001" customHeight="1" x14ac:dyDescent="0.2">
      <c r="A714" s="6" t="s">
        <v>742</v>
      </c>
      <c r="B714" s="7">
        <v>46273</v>
      </c>
      <c r="C714" s="8" t="s">
        <v>38</v>
      </c>
      <c r="D714" s="8" t="s">
        <v>39</v>
      </c>
      <c r="E714" s="9">
        <v>15</v>
      </c>
      <c r="F714" s="7">
        <v>46288</v>
      </c>
      <c r="G714" s="10">
        <v>1840.46</v>
      </c>
      <c r="H714" s="10">
        <v>276.07</v>
      </c>
      <c r="I714" s="10">
        <v>2116.5300000000002</v>
      </c>
      <c r="J714" s="9" t="s">
        <v>2</v>
      </c>
      <c r="K714" s="7">
        <v>46287</v>
      </c>
      <c r="L714" s="9" t="s">
        <v>3</v>
      </c>
      <c r="M714" s="11" cm="1">
        <f t="array" ref="M714">IF(Invoices[[#This Row],[Status]]="Open",MAX(0,AsOf-Invoices[[#This Row],[Due Date]]),IF(Invoices[[#This Row],[Paid Date]]="","",MAX(0,Invoices[[#This Row],[Paid Date]]-Invoices[[#This Row],[Due Date]])))</f>
        <v>0</v>
      </c>
      <c r="N71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15" spans="1:14" ht="17.100000000000001" customHeight="1" x14ac:dyDescent="0.2">
      <c r="A715" s="6" t="s">
        <v>743</v>
      </c>
      <c r="B715" s="7">
        <v>46273</v>
      </c>
      <c r="C715" s="8" t="s">
        <v>31</v>
      </c>
      <c r="D715" s="8" t="s">
        <v>6</v>
      </c>
      <c r="E715" s="9">
        <v>60</v>
      </c>
      <c r="F715" s="7">
        <v>46333</v>
      </c>
      <c r="G715" s="10">
        <v>5188.6000000000004</v>
      </c>
      <c r="H715" s="10">
        <v>778.29</v>
      </c>
      <c r="I715" s="10">
        <v>5966.89</v>
      </c>
      <c r="J715" s="9" t="s">
        <v>545</v>
      </c>
      <c r="K715" s="7"/>
      <c r="L715" s="9" t="s">
        <v>3</v>
      </c>
      <c r="M715" s="11" cm="1">
        <f t="array" ref="M715">IF(Invoices[[#This Row],[Status]]="Open",MAX(0,AsOf-Invoices[[#This Row],[Due Date]]),IF(Invoices[[#This Row],[Paid Date]]="","",MAX(0,Invoices[[#This Row],[Paid Date]]-Invoices[[#This Row],[Due Date]])))</f>
        <v>0</v>
      </c>
      <c r="N71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16" spans="1:14" ht="17.100000000000001" customHeight="1" x14ac:dyDescent="0.2">
      <c r="A716" s="6" t="s">
        <v>744</v>
      </c>
      <c r="B716" s="7">
        <v>46273</v>
      </c>
      <c r="C716" s="8" t="s">
        <v>38</v>
      </c>
      <c r="D716" s="8" t="s">
        <v>39</v>
      </c>
      <c r="E716" s="9">
        <v>15</v>
      </c>
      <c r="F716" s="7">
        <v>46288</v>
      </c>
      <c r="G716" s="10">
        <v>2250.09</v>
      </c>
      <c r="H716" s="10">
        <v>337.51</v>
      </c>
      <c r="I716" s="10">
        <v>2587.6</v>
      </c>
      <c r="J716" s="9" t="s">
        <v>2</v>
      </c>
      <c r="K716" s="7">
        <v>46289</v>
      </c>
      <c r="L716" s="9" t="s">
        <v>3</v>
      </c>
      <c r="M716" s="11" cm="1">
        <f t="array" ref="M716">IF(Invoices[[#This Row],[Status]]="Open",MAX(0,AsOf-Invoices[[#This Row],[Due Date]]),IF(Invoices[[#This Row],[Paid Date]]="","",MAX(0,Invoices[[#This Row],[Paid Date]]-Invoices[[#This Row],[Due Date]])))</f>
        <v>1</v>
      </c>
      <c r="N71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17" spans="1:14" ht="17.100000000000001" customHeight="1" x14ac:dyDescent="0.2">
      <c r="A717" s="6" t="s">
        <v>745</v>
      </c>
      <c r="B717" s="7">
        <v>46274</v>
      </c>
      <c r="C717" s="8" t="s">
        <v>5</v>
      </c>
      <c r="D717" s="8" t="s">
        <v>6</v>
      </c>
      <c r="E717" s="9">
        <v>45</v>
      </c>
      <c r="F717" s="7">
        <v>46319</v>
      </c>
      <c r="G717" s="10">
        <v>4870.47</v>
      </c>
      <c r="H717" s="10">
        <v>730.57</v>
      </c>
      <c r="I717" s="10">
        <v>5601.04</v>
      </c>
      <c r="J717" s="9" t="s">
        <v>545</v>
      </c>
      <c r="K717" s="7"/>
      <c r="L717" s="9" t="s">
        <v>3</v>
      </c>
      <c r="M717" s="11" cm="1">
        <f t="array" ref="M717">IF(Invoices[[#This Row],[Status]]="Open",MAX(0,AsOf-Invoices[[#This Row],[Due Date]]),IF(Invoices[[#This Row],[Paid Date]]="","",MAX(0,Invoices[[#This Row],[Paid Date]]-Invoices[[#This Row],[Due Date]])))</f>
        <v>0</v>
      </c>
      <c r="N71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18" spans="1:14" ht="17.100000000000001" customHeight="1" x14ac:dyDescent="0.2">
      <c r="A718" s="6" t="s">
        <v>746</v>
      </c>
      <c r="B718" s="7">
        <v>46274</v>
      </c>
      <c r="C718" s="8" t="s">
        <v>13</v>
      </c>
      <c r="D718" s="8" t="s">
        <v>1</v>
      </c>
      <c r="E718" s="9">
        <v>30</v>
      </c>
      <c r="F718" s="7">
        <v>46304</v>
      </c>
      <c r="G718" s="10">
        <v>3470.32</v>
      </c>
      <c r="H718" s="10">
        <v>520.54999999999995</v>
      </c>
      <c r="I718" s="10">
        <v>3990.87</v>
      </c>
      <c r="J718" s="9" t="s">
        <v>2</v>
      </c>
      <c r="K718" s="7">
        <v>46299</v>
      </c>
      <c r="L718" s="9" t="s">
        <v>3</v>
      </c>
      <c r="M718" s="11" cm="1">
        <f t="array" ref="M718">IF(Invoices[[#This Row],[Status]]="Open",MAX(0,AsOf-Invoices[[#This Row],[Due Date]]),IF(Invoices[[#This Row],[Paid Date]]="","",MAX(0,Invoices[[#This Row],[Paid Date]]-Invoices[[#This Row],[Due Date]])))</f>
        <v>0</v>
      </c>
      <c r="N71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19" spans="1:14" ht="17.100000000000001" customHeight="1" x14ac:dyDescent="0.2">
      <c r="A719" s="6" t="s">
        <v>747</v>
      </c>
      <c r="B719" s="7">
        <v>46274</v>
      </c>
      <c r="C719" s="8" t="s">
        <v>34</v>
      </c>
      <c r="D719" s="8" t="s">
        <v>21</v>
      </c>
      <c r="E719" s="9">
        <v>30</v>
      </c>
      <c r="F719" s="7">
        <v>46304</v>
      </c>
      <c r="G719" s="10">
        <v>1295.24</v>
      </c>
      <c r="H719" s="10">
        <v>194.29</v>
      </c>
      <c r="I719" s="10">
        <v>1489.53</v>
      </c>
      <c r="J719" s="9" t="s">
        <v>2</v>
      </c>
      <c r="K719" s="7">
        <v>46302</v>
      </c>
      <c r="L719" s="9" t="s">
        <v>3</v>
      </c>
      <c r="M719" s="11" cm="1">
        <f t="array" ref="M719">IF(Invoices[[#This Row],[Status]]="Open",MAX(0,AsOf-Invoices[[#This Row],[Due Date]]),IF(Invoices[[#This Row],[Paid Date]]="","",MAX(0,Invoices[[#This Row],[Paid Date]]-Invoices[[#This Row],[Due Date]])))</f>
        <v>0</v>
      </c>
      <c r="N71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20" spans="1:14" ht="17.100000000000001" customHeight="1" x14ac:dyDescent="0.2">
      <c r="A720" s="6" t="s">
        <v>748</v>
      </c>
      <c r="B720" s="7">
        <v>46274</v>
      </c>
      <c r="C720" s="8" t="s">
        <v>10</v>
      </c>
      <c r="D720" s="8" t="s">
        <v>11</v>
      </c>
      <c r="E720" s="9">
        <v>30</v>
      </c>
      <c r="F720" s="7">
        <v>46304</v>
      </c>
      <c r="G720" s="10">
        <v>4829.2</v>
      </c>
      <c r="H720" s="10">
        <v>724.38</v>
      </c>
      <c r="I720" s="10">
        <v>5553.58</v>
      </c>
      <c r="J720" s="9" t="s">
        <v>545</v>
      </c>
      <c r="K720" s="7"/>
      <c r="L720" s="9" t="s">
        <v>3</v>
      </c>
      <c r="M720" s="11" cm="1">
        <f t="array" ref="M720">IF(Invoices[[#This Row],[Status]]="Open",MAX(0,AsOf-Invoices[[#This Row],[Due Date]]),IF(Invoices[[#This Row],[Paid Date]]="","",MAX(0,Invoices[[#This Row],[Paid Date]]-Invoices[[#This Row],[Due Date]])))</f>
        <v>6</v>
      </c>
      <c r="N72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21" spans="1:14" ht="17.100000000000001" customHeight="1" x14ac:dyDescent="0.2">
      <c r="A721" s="6" t="s">
        <v>749</v>
      </c>
      <c r="B721" s="7">
        <v>46275</v>
      </c>
      <c r="C721" s="8" t="s">
        <v>10</v>
      </c>
      <c r="D721" s="8" t="s">
        <v>11</v>
      </c>
      <c r="E721" s="9">
        <v>30</v>
      </c>
      <c r="F721" s="7">
        <v>46305</v>
      </c>
      <c r="G721" s="10">
        <v>10499.97</v>
      </c>
      <c r="H721" s="10">
        <v>1575</v>
      </c>
      <c r="I721" s="10">
        <v>12074.97</v>
      </c>
      <c r="J721" s="9" t="s">
        <v>545</v>
      </c>
      <c r="K721" s="7"/>
      <c r="L721" s="9" t="s">
        <v>3</v>
      </c>
      <c r="M721" s="11" cm="1">
        <f t="array" ref="M721">IF(Invoices[[#This Row],[Status]]="Open",MAX(0,AsOf-Invoices[[#This Row],[Due Date]]),IF(Invoices[[#This Row],[Paid Date]]="","",MAX(0,Invoices[[#This Row],[Paid Date]]-Invoices[[#This Row],[Due Date]])))</f>
        <v>5</v>
      </c>
      <c r="N72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22" spans="1:14" ht="17.100000000000001" customHeight="1" x14ac:dyDescent="0.2">
      <c r="A722" s="6" t="s">
        <v>750</v>
      </c>
      <c r="B722" s="7">
        <v>46275</v>
      </c>
      <c r="C722" s="8" t="s">
        <v>75</v>
      </c>
      <c r="D722" s="8" t="s">
        <v>21</v>
      </c>
      <c r="E722" s="9">
        <v>30</v>
      </c>
      <c r="F722" s="7">
        <v>46305</v>
      </c>
      <c r="G722" s="10">
        <v>2727.47</v>
      </c>
      <c r="H722" s="10">
        <v>409.12</v>
      </c>
      <c r="I722" s="10">
        <v>3136.59</v>
      </c>
      <c r="J722" s="9" t="s">
        <v>2</v>
      </c>
      <c r="K722" s="7">
        <v>46303</v>
      </c>
      <c r="L722" s="9" t="s">
        <v>3</v>
      </c>
      <c r="M722" s="11" cm="1">
        <f t="array" ref="M722">IF(Invoices[[#This Row],[Status]]="Open",MAX(0,AsOf-Invoices[[#This Row],[Due Date]]),IF(Invoices[[#This Row],[Paid Date]]="","",MAX(0,Invoices[[#This Row],[Paid Date]]-Invoices[[#This Row],[Due Date]])))</f>
        <v>0</v>
      </c>
      <c r="N72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23" spans="1:14" ht="17.100000000000001" customHeight="1" x14ac:dyDescent="0.2">
      <c r="A723" s="6" t="s">
        <v>751</v>
      </c>
      <c r="B723" s="7">
        <v>46275</v>
      </c>
      <c r="C723" s="8" t="s">
        <v>5</v>
      </c>
      <c r="D723" s="8" t="s">
        <v>6</v>
      </c>
      <c r="E723" s="9">
        <v>45</v>
      </c>
      <c r="F723" s="7">
        <v>46320</v>
      </c>
      <c r="G723" s="10">
        <v>10404.959999999999</v>
      </c>
      <c r="H723" s="10">
        <v>1560.74</v>
      </c>
      <c r="I723" s="10">
        <v>11965.7</v>
      </c>
      <c r="J723" s="9" t="s">
        <v>545</v>
      </c>
      <c r="K723" s="7"/>
      <c r="L723" s="9" t="s">
        <v>3</v>
      </c>
      <c r="M723" s="11" cm="1">
        <f t="array" ref="M723">IF(Invoices[[#This Row],[Status]]="Open",MAX(0,AsOf-Invoices[[#This Row],[Due Date]]),IF(Invoices[[#This Row],[Paid Date]]="","",MAX(0,Invoices[[#This Row],[Paid Date]]-Invoices[[#This Row],[Due Date]])))</f>
        <v>0</v>
      </c>
      <c r="N72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24" spans="1:14" ht="17.100000000000001" customHeight="1" x14ac:dyDescent="0.2">
      <c r="A724" s="6" t="s">
        <v>752</v>
      </c>
      <c r="B724" s="7">
        <v>46278</v>
      </c>
      <c r="C724" s="8" t="s">
        <v>24</v>
      </c>
      <c r="D724" s="8" t="s">
        <v>25</v>
      </c>
      <c r="E724" s="9">
        <v>60</v>
      </c>
      <c r="F724" s="7">
        <v>46338</v>
      </c>
      <c r="G724" s="10">
        <v>10223.64</v>
      </c>
      <c r="H724" s="10">
        <v>1533.55</v>
      </c>
      <c r="I724" s="10">
        <v>11757.19</v>
      </c>
      <c r="J724" s="9" t="s">
        <v>545</v>
      </c>
      <c r="K724" s="7"/>
      <c r="L724" s="9" t="s">
        <v>3</v>
      </c>
      <c r="M724" s="11" cm="1">
        <f t="array" ref="M724">IF(Invoices[[#This Row],[Status]]="Open",MAX(0,AsOf-Invoices[[#This Row],[Due Date]]),IF(Invoices[[#This Row],[Paid Date]]="","",MAX(0,Invoices[[#This Row],[Paid Date]]-Invoices[[#This Row],[Due Date]])))</f>
        <v>0</v>
      </c>
      <c r="N72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25" spans="1:14" ht="17.100000000000001" customHeight="1" x14ac:dyDescent="0.2">
      <c r="A725" s="6" t="s">
        <v>753</v>
      </c>
      <c r="B725" s="7">
        <v>46278</v>
      </c>
      <c r="C725" s="8" t="s">
        <v>31</v>
      </c>
      <c r="D725" s="8" t="s">
        <v>6</v>
      </c>
      <c r="E725" s="9">
        <v>60</v>
      </c>
      <c r="F725" s="7">
        <v>46338</v>
      </c>
      <c r="G725" s="10">
        <v>15026.48</v>
      </c>
      <c r="H725" s="10">
        <v>2253.9699999999998</v>
      </c>
      <c r="I725" s="10">
        <v>17280.45</v>
      </c>
      <c r="J725" s="9" t="s">
        <v>545</v>
      </c>
      <c r="K725" s="7"/>
      <c r="L725" s="9" t="s">
        <v>3</v>
      </c>
      <c r="M725" s="11" cm="1">
        <f t="array" ref="M725">IF(Invoices[[#This Row],[Status]]="Open",MAX(0,AsOf-Invoices[[#This Row],[Due Date]]),IF(Invoices[[#This Row],[Paid Date]]="","",MAX(0,Invoices[[#This Row],[Paid Date]]-Invoices[[#This Row],[Due Date]])))</f>
        <v>0</v>
      </c>
      <c r="N72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26" spans="1:14" ht="17.100000000000001" customHeight="1" x14ac:dyDescent="0.2">
      <c r="A726" s="6" t="s">
        <v>754</v>
      </c>
      <c r="B726" s="7">
        <v>46278</v>
      </c>
      <c r="C726" s="8" t="s">
        <v>31</v>
      </c>
      <c r="D726" s="8" t="s">
        <v>6</v>
      </c>
      <c r="E726" s="9">
        <v>60</v>
      </c>
      <c r="F726" s="7">
        <v>46338</v>
      </c>
      <c r="G726" s="10">
        <v>9106.9500000000007</v>
      </c>
      <c r="H726" s="10">
        <v>1366.04</v>
      </c>
      <c r="I726" s="10">
        <v>10472.99</v>
      </c>
      <c r="J726" s="9" t="s">
        <v>545</v>
      </c>
      <c r="K726" s="7"/>
      <c r="L726" s="9" t="s">
        <v>3</v>
      </c>
      <c r="M726" s="11" cm="1">
        <f t="array" ref="M726">IF(Invoices[[#This Row],[Status]]="Open",MAX(0,AsOf-Invoices[[#This Row],[Due Date]]),IF(Invoices[[#This Row],[Paid Date]]="","",MAX(0,Invoices[[#This Row],[Paid Date]]-Invoices[[#This Row],[Due Date]])))</f>
        <v>0</v>
      </c>
      <c r="N72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27" spans="1:14" ht="17.100000000000001" customHeight="1" x14ac:dyDescent="0.2">
      <c r="A727" s="6" t="s">
        <v>755</v>
      </c>
      <c r="B727" s="7">
        <v>46278</v>
      </c>
      <c r="C727" s="8" t="s">
        <v>13</v>
      </c>
      <c r="D727" s="8" t="s">
        <v>1</v>
      </c>
      <c r="E727" s="9">
        <v>30</v>
      </c>
      <c r="F727" s="7">
        <v>46308</v>
      </c>
      <c r="G727" s="10">
        <v>2656.28</v>
      </c>
      <c r="H727" s="10">
        <v>398.44</v>
      </c>
      <c r="I727" s="10">
        <v>3054.72</v>
      </c>
      <c r="J727" s="9" t="s">
        <v>2</v>
      </c>
      <c r="K727" s="7">
        <v>46303</v>
      </c>
      <c r="L727" s="9" t="s">
        <v>3</v>
      </c>
      <c r="M727" s="11" cm="1">
        <f t="array" ref="M727">IF(Invoices[[#This Row],[Status]]="Open",MAX(0,AsOf-Invoices[[#This Row],[Due Date]]),IF(Invoices[[#This Row],[Paid Date]]="","",MAX(0,Invoices[[#This Row],[Paid Date]]-Invoices[[#This Row],[Due Date]])))</f>
        <v>0</v>
      </c>
      <c r="N72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28" spans="1:14" ht="17.100000000000001" customHeight="1" x14ac:dyDescent="0.2">
      <c r="A728" s="6" t="s">
        <v>756</v>
      </c>
      <c r="B728" s="7">
        <v>46278</v>
      </c>
      <c r="C728" s="8" t="s">
        <v>8</v>
      </c>
      <c r="D728" s="8" t="s">
        <v>6</v>
      </c>
      <c r="E728" s="9">
        <v>45</v>
      </c>
      <c r="F728" s="7">
        <v>46323</v>
      </c>
      <c r="G728" s="10">
        <v>9423.35</v>
      </c>
      <c r="H728" s="10">
        <v>1413.5</v>
      </c>
      <c r="I728" s="10">
        <v>10836.85</v>
      </c>
      <c r="J728" s="9" t="s">
        <v>545</v>
      </c>
      <c r="K728" s="7"/>
      <c r="L728" s="9" t="s">
        <v>3</v>
      </c>
      <c r="M728" s="11" cm="1">
        <f t="array" ref="M728">IF(Invoices[[#This Row],[Status]]="Open",MAX(0,AsOf-Invoices[[#This Row],[Due Date]]),IF(Invoices[[#This Row],[Paid Date]]="","",MAX(0,Invoices[[#This Row],[Paid Date]]-Invoices[[#This Row],[Due Date]])))</f>
        <v>0</v>
      </c>
      <c r="N72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29" spans="1:14" ht="17.100000000000001" customHeight="1" x14ac:dyDescent="0.2">
      <c r="A729" s="6" t="s">
        <v>757</v>
      </c>
      <c r="B729" s="7">
        <v>46278</v>
      </c>
      <c r="C729" s="8" t="s">
        <v>56</v>
      </c>
      <c r="D729" s="8" t="s">
        <v>17</v>
      </c>
      <c r="E729" s="9">
        <v>30</v>
      </c>
      <c r="F729" s="7">
        <v>46308</v>
      </c>
      <c r="G729" s="10">
        <v>1650.14</v>
      </c>
      <c r="H729" s="10">
        <v>247.52</v>
      </c>
      <c r="I729" s="10">
        <v>1897.66</v>
      </c>
      <c r="J729" s="9" t="s">
        <v>545</v>
      </c>
      <c r="K729" s="7"/>
      <c r="L729" s="9" t="s">
        <v>3</v>
      </c>
      <c r="M729" s="11" cm="1">
        <f t="array" ref="M729">IF(Invoices[[#This Row],[Status]]="Open",MAX(0,AsOf-Invoices[[#This Row],[Due Date]]),IF(Invoices[[#This Row],[Paid Date]]="","",MAX(0,Invoices[[#This Row],[Paid Date]]-Invoices[[#This Row],[Due Date]])))</f>
        <v>2</v>
      </c>
      <c r="N72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30" spans="1:14" ht="17.100000000000001" customHeight="1" x14ac:dyDescent="0.2">
      <c r="A730" s="6" t="s">
        <v>758</v>
      </c>
      <c r="B730" s="7">
        <v>46280</v>
      </c>
      <c r="C730" s="8" t="s">
        <v>31</v>
      </c>
      <c r="D730" s="8" t="s">
        <v>6</v>
      </c>
      <c r="E730" s="9">
        <v>60</v>
      </c>
      <c r="F730" s="7">
        <v>46340</v>
      </c>
      <c r="G730" s="10">
        <v>13118.89</v>
      </c>
      <c r="H730" s="10">
        <v>1967.83</v>
      </c>
      <c r="I730" s="10">
        <v>15086.72</v>
      </c>
      <c r="J730" s="9" t="s">
        <v>545</v>
      </c>
      <c r="K730" s="7"/>
      <c r="L730" s="9" t="s">
        <v>3</v>
      </c>
      <c r="M730" s="11" cm="1">
        <f t="array" ref="M730">IF(Invoices[[#This Row],[Status]]="Open",MAX(0,AsOf-Invoices[[#This Row],[Due Date]]),IF(Invoices[[#This Row],[Paid Date]]="","",MAX(0,Invoices[[#This Row],[Paid Date]]-Invoices[[#This Row],[Due Date]])))</f>
        <v>0</v>
      </c>
      <c r="N73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31" spans="1:14" ht="17.100000000000001" customHeight="1" x14ac:dyDescent="0.2">
      <c r="A731" s="6" t="s">
        <v>759</v>
      </c>
      <c r="B731" s="7">
        <v>46280</v>
      </c>
      <c r="C731" s="8" t="s">
        <v>54</v>
      </c>
      <c r="D731" s="8" t="s">
        <v>11</v>
      </c>
      <c r="E731" s="9">
        <v>30</v>
      </c>
      <c r="F731" s="7">
        <v>46310</v>
      </c>
      <c r="G731" s="10">
        <v>4675.8</v>
      </c>
      <c r="H731" s="10">
        <v>701.37</v>
      </c>
      <c r="I731" s="10">
        <v>5377.17</v>
      </c>
      <c r="J731" s="9" t="s">
        <v>545</v>
      </c>
      <c r="K731" s="7"/>
      <c r="L731" s="9" t="s">
        <v>3</v>
      </c>
      <c r="M731" s="11" cm="1">
        <f t="array" ref="M731">IF(Invoices[[#This Row],[Status]]="Open",MAX(0,AsOf-Invoices[[#This Row],[Due Date]]),IF(Invoices[[#This Row],[Paid Date]]="","",MAX(0,Invoices[[#This Row],[Paid Date]]-Invoices[[#This Row],[Due Date]])))</f>
        <v>0</v>
      </c>
      <c r="N73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32" spans="1:14" ht="17.100000000000001" customHeight="1" x14ac:dyDescent="0.2">
      <c r="A732" s="6" t="s">
        <v>760</v>
      </c>
      <c r="B732" s="7">
        <v>46280</v>
      </c>
      <c r="C732" s="8" t="s">
        <v>66</v>
      </c>
      <c r="D732" s="8" t="s">
        <v>62</v>
      </c>
      <c r="E732" s="9">
        <v>15</v>
      </c>
      <c r="F732" s="7">
        <v>46295</v>
      </c>
      <c r="G732" s="10">
        <v>2225</v>
      </c>
      <c r="H732" s="10">
        <v>333.75</v>
      </c>
      <c r="I732" s="10">
        <v>2558.75</v>
      </c>
      <c r="J732" s="9" t="s">
        <v>2</v>
      </c>
      <c r="K732" s="7">
        <v>46293</v>
      </c>
      <c r="L732" s="9" t="s">
        <v>3</v>
      </c>
      <c r="M732" s="11" cm="1">
        <f t="array" ref="M732">IF(Invoices[[#This Row],[Status]]="Open",MAX(0,AsOf-Invoices[[#This Row],[Due Date]]),IF(Invoices[[#This Row],[Paid Date]]="","",MAX(0,Invoices[[#This Row],[Paid Date]]-Invoices[[#This Row],[Due Date]])))</f>
        <v>0</v>
      </c>
      <c r="N73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33" spans="1:14" ht="17.100000000000001" customHeight="1" x14ac:dyDescent="0.2">
      <c r="A733" s="6" t="s">
        <v>761</v>
      </c>
      <c r="B733" s="7">
        <v>46280</v>
      </c>
      <c r="C733" s="8" t="s">
        <v>34</v>
      </c>
      <c r="D733" s="8" t="s">
        <v>21</v>
      </c>
      <c r="E733" s="9">
        <v>30</v>
      </c>
      <c r="F733" s="7">
        <v>46310</v>
      </c>
      <c r="G733" s="10">
        <v>3269.32</v>
      </c>
      <c r="H733" s="10">
        <v>490.4</v>
      </c>
      <c r="I733" s="10">
        <v>3759.72</v>
      </c>
      <c r="J733" s="9" t="s">
        <v>545</v>
      </c>
      <c r="K733" s="7"/>
      <c r="L733" s="9" t="s">
        <v>3</v>
      </c>
      <c r="M733" s="11" cm="1">
        <f t="array" ref="M733">IF(Invoices[[#This Row],[Status]]="Open",MAX(0,AsOf-Invoices[[#This Row],[Due Date]]),IF(Invoices[[#This Row],[Paid Date]]="","",MAX(0,Invoices[[#This Row],[Paid Date]]-Invoices[[#This Row],[Due Date]])))</f>
        <v>0</v>
      </c>
      <c r="N73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34" spans="1:14" ht="17.100000000000001" customHeight="1" x14ac:dyDescent="0.2">
      <c r="A734" s="6" t="s">
        <v>762</v>
      </c>
      <c r="B734" s="7">
        <v>46281</v>
      </c>
      <c r="C734" s="8" t="s">
        <v>5</v>
      </c>
      <c r="D734" s="8" t="s">
        <v>6</v>
      </c>
      <c r="E734" s="9">
        <v>45</v>
      </c>
      <c r="F734" s="7">
        <v>46326</v>
      </c>
      <c r="G734" s="10">
        <v>13038.51</v>
      </c>
      <c r="H734" s="10">
        <v>1955.78</v>
      </c>
      <c r="I734" s="10">
        <v>14994.29</v>
      </c>
      <c r="J734" s="9" t="s">
        <v>545</v>
      </c>
      <c r="K734" s="7"/>
      <c r="L734" s="9" t="s">
        <v>3</v>
      </c>
      <c r="M734" s="11" cm="1">
        <f t="array" ref="M734">IF(Invoices[[#This Row],[Status]]="Open",MAX(0,AsOf-Invoices[[#This Row],[Due Date]]),IF(Invoices[[#This Row],[Paid Date]]="","",MAX(0,Invoices[[#This Row],[Paid Date]]-Invoices[[#This Row],[Due Date]])))</f>
        <v>0</v>
      </c>
      <c r="N73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35" spans="1:14" ht="17.100000000000001" customHeight="1" x14ac:dyDescent="0.2">
      <c r="A735" s="6" t="s">
        <v>763</v>
      </c>
      <c r="B735" s="7">
        <v>46281</v>
      </c>
      <c r="C735" s="8" t="s">
        <v>8</v>
      </c>
      <c r="D735" s="8" t="s">
        <v>6</v>
      </c>
      <c r="E735" s="9">
        <v>45</v>
      </c>
      <c r="F735" s="7">
        <v>46326</v>
      </c>
      <c r="G735" s="10">
        <v>10525.94</v>
      </c>
      <c r="H735" s="10">
        <v>1578.89</v>
      </c>
      <c r="I735" s="10">
        <v>12104.83</v>
      </c>
      <c r="J735" s="9" t="s">
        <v>545</v>
      </c>
      <c r="K735" s="7"/>
      <c r="L735" s="9" t="s">
        <v>3</v>
      </c>
      <c r="M735" s="11" cm="1">
        <f t="array" ref="M735">IF(Invoices[[#This Row],[Status]]="Open",MAX(0,AsOf-Invoices[[#This Row],[Due Date]]),IF(Invoices[[#This Row],[Paid Date]]="","",MAX(0,Invoices[[#This Row],[Paid Date]]-Invoices[[#This Row],[Due Date]])))</f>
        <v>0</v>
      </c>
      <c r="N73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36" spans="1:14" ht="17.100000000000001" customHeight="1" x14ac:dyDescent="0.2">
      <c r="A736" s="6" t="s">
        <v>764</v>
      </c>
      <c r="B736" s="7">
        <v>46282</v>
      </c>
      <c r="C736" s="8" t="s">
        <v>24</v>
      </c>
      <c r="D736" s="8" t="s">
        <v>25</v>
      </c>
      <c r="E736" s="9">
        <v>60</v>
      </c>
      <c r="F736" s="7">
        <v>46342</v>
      </c>
      <c r="G736" s="10">
        <v>8995.5</v>
      </c>
      <c r="H736" s="10">
        <v>1349.33</v>
      </c>
      <c r="I736" s="10">
        <v>10344.83</v>
      </c>
      <c r="J736" s="9" t="s">
        <v>545</v>
      </c>
      <c r="K736" s="7"/>
      <c r="L736" s="9" t="s">
        <v>3</v>
      </c>
      <c r="M736" s="11" cm="1">
        <f t="array" ref="M736">IF(Invoices[[#This Row],[Status]]="Open",MAX(0,AsOf-Invoices[[#This Row],[Due Date]]),IF(Invoices[[#This Row],[Paid Date]]="","",MAX(0,Invoices[[#This Row],[Paid Date]]-Invoices[[#This Row],[Due Date]])))</f>
        <v>0</v>
      </c>
      <c r="N73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37" spans="1:14" ht="17.100000000000001" customHeight="1" x14ac:dyDescent="0.2">
      <c r="A737" s="6" t="s">
        <v>765</v>
      </c>
      <c r="B737" s="7">
        <v>46285</v>
      </c>
      <c r="C737" s="8" t="s">
        <v>31</v>
      </c>
      <c r="D737" s="8" t="s">
        <v>6</v>
      </c>
      <c r="E737" s="9">
        <v>60</v>
      </c>
      <c r="F737" s="7">
        <v>46345</v>
      </c>
      <c r="G737" s="10">
        <v>10020.200000000001</v>
      </c>
      <c r="H737" s="10">
        <v>1503.03</v>
      </c>
      <c r="I737" s="10">
        <v>11523.23</v>
      </c>
      <c r="J737" s="9" t="s">
        <v>545</v>
      </c>
      <c r="K737" s="7"/>
      <c r="L737" s="9" t="s">
        <v>3</v>
      </c>
      <c r="M737" s="11" cm="1">
        <f t="array" ref="M737">IF(Invoices[[#This Row],[Status]]="Open",MAX(0,AsOf-Invoices[[#This Row],[Due Date]]),IF(Invoices[[#This Row],[Paid Date]]="","",MAX(0,Invoices[[#This Row],[Paid Date]]-Invoices[[#This Row],[Due Date]])))</f>
        <v>0</v>
      </c>
      <c r="N73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38" spans="1:14" ht="17.100000000000001" customHeight="1" x14ac:dyDescent="0.2">
      <c r="A738" s="6" t="s">
        <v>766</v>
      </c>
      <c r="B738" s="7">
        <v>46286</v>
      </c>
      <c r="C738" s="8" t="s">
        <v>20</v>
      </c>
      <c r="D738" s="8" t="s">
        <v>21</v>
      </c>
      <c r="E738" s="9">
        <v>30</v>
      </c>
      <c r="F738" s="7">
        <v>46316</v>
      </c>
      <c r="G738" s="10">
        <v>3247.7</v>
      </c>
      <c r="H738" s="10">
        <v>487.15</v>
      </c>
      <c r="I738" s="10">
        <v>3734.85</v>
      </c>
      <c r="J738" s="9" t="s">
        <v>545</v>
      </c>
      <c r="K738" s="7"/>
      <c r="L738" s="9" t="s">
        <v>3</v>
      </c>
      <c r="M738" s="11" cm="1">
        <f t="array" ref="M738">IF(Invoices[[#This Row],[Status]]="Open",MAX(0,AsOf-Invoices[[#This Row],[Due Date]]),IF(Invoices[[#This Row],[Paid Date]]="","",MAX(0,Invoices[[#This Row],[Paid Date]]-Invoices[[#This Row],[Due Date]])))</f>
        <v>0</v>
      </c>
      <c r="N73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39" spans="1:14" ht="17.100000000000001" customHeight="1" x14ac:dyDescent="0.2">
      <c r="A739" s="6" t="s">
        <v>767</v>
      </c>
      <c r="B739" s="7">
        <v>46286</v>
      </c>
      <c r="C739" s="8" t="s">
        <v>45</v>
      </c>
      <c r="D739" s="8" t="s">
        <v>17</v>
      </c>
      <c r="E739" s="9">
        <v>30</v>
      </c>
      <c r="F739" s="7">
        <v>46316</v>
      </c>
      <c r="G739" s="10">
        <v>4053.81</v>
      </c>
      <c r="H739" s="10">
        <v>608.07000000000005</v>
      </c>
      <c r="I739" s="10">
        <v>4661.88</v>
      </c>
      <c r="J739" s="9" t="s">
        <v>545</v>
      </c>
      <c r="K739" s="7"/>
      <c r="L739" s="9" t="s">
        <v>3</v>
      </c>
      <c r="M739" s="11" cm="1">
        <f t="array" ref="M739">IF(Invoices[[#This Row],[Status]]="Open",MAX(0,AsOf-Invoices[[#This Row],[Due Date]]),IF(Invoices[[#This Row],[Paid Date]]="","",MAX(0,Invoices[[#This Row],[Paid Date]]-Invoices[[#This Row],[Due Date]])))</f>
        <v>0</v>
      </c>
      <c r="N73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40" spans="1:14" ht="17.100000000000001" customHeight="1" x14ac:dyDescent="0.2">
      <c r="A740" s="6" t="s">
        <v>768</v>
      </c>
      <c r="B740" s="7">
        <v>46286</v>
      </c>
      <c r="C740" s="8" t="s">
        <v>24</v>
      </c>
      <c r="D740" s="8" t="s">
        <v>25</v>
      </c>
      <c r="E740" s="9">
        <v>60</v>
      </c>
      <c r="F740" s="7">
        <v>46346</v>
      </c>
      <c r="G740" s="10">
        <v>15052</v>
      </c>
      <c r="H740" s="10">
        <v>2257.8000000000002</v>
      </c>
      <c r="I740" s="10">
        <v>17309.8</v>
      </c>
      <c r="J740" s="9" t="s">
        <v>545</v>
      </c>
      <c r="K740" s="7"/>
      <c r="L740" s="9" t="s">
        <v>3</v>
      </c>
      <c r="M740" s="11" cm="1">
        <f t="array" ref="M740">IF(Invoices[[#This Row],[Status]]="Open",MAX(0,AsOf-Invoices[[#This Row],[Due Date]]),IF(Invoices[[#This Row],[Paid Date]]="","",MAX(0,Invoices[[#This Row],[Paid Date]]-Invoices[[#This Row],[Due Date]])))</f>
        <v>0</v>
      </c>
      <c r="N74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41" spans="1:14" ht="17.100000000000001" customHeight="1" x14ac:dyDescent="0.2">
      <c r="A741" s="6" t="s">
        <v>769</v>
      </c>
      <c r="B741" s="7">
        <v>46287</v>
      </c>
      <c r="C741" s="8" t="s">
        <v>54</v>
      </c>
      <c r="D741" s="8" t="s">
        <v>11</v>
      </c>
      <c r="E741" s="9">
        <v>30</v>
      </c>
      <c r="F741" s="7">
        <v>46317</v>
      </c>
      <c r="G741" s="10">
        <v>4393.25</v>
      </c>
      <c r="H741" s="10">
        <v>658.99</v>
      </c>
      <c r="I741" s="10">
        <v>5052.24</v>
      </c>
      <c r="J741" s="9" t="s">
        <v>545</v>
      </c>
      <c r="K741" s="7"/>
      <c r="L741" s="9" t="s">
        <v>3</v>
      </c>
      <c r="M741" s="11" cm="1">
        <f t="array" ref="M741">IF(Invoices[[#This Row],[Status]]="Open",MAX(0,AsOf-Invoices[[#This Row],[Due Date]]),IF(Invoices[[#This Row],[Paid Date]]="","",MAX(0,Invoices[[#This Row],[Paid Date]]-Invoices[[#This Row],[Due Date]])))</f>
        <v>0</v>
      </c>
      <c r="N74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42" spans="1:14" ht="17.100000000000001" customHeight="1" x14ac:dyDescent="0.2">
      <c r="A742" s="6" t="s">
        <v>770</v>
      </c>
      <c r="B742" s="7">
        <v>46287</v>
      </c>
      <c r="C742" s="8" t="s">
        <v>54</v>
      </c>
      <c r="D742" s="8" t="s">
        <v>11</v>
      </c>
      <c r="E742" s="9">
        <v>30</v>
      </c>
      <c r="F742" s="7">
        <v>46317</v>
      </c>
      <c r="G742" s="10">
        <v>3915.88</v>
      </c>
      <c r="H742" s="10">
        <v>587.38</v>
      </c>
      <c r="I742" s="10">
        <v>4503.26</v>
      </c>
      <c r="J742" s="9" t="s">
        <v>545</v>
      </c>
      <c r="K742" s="7"/>
      <c r="L742" s="9" t="s">
        <v>3</v>
      </c>
      <c r="M742" s="11" cm="1">
        <f t="array" ref="M742">IF(Invoices[[#This Row],[Status]]="Open",MAX(0,AsOf-Invoices[[#This Row],[Due Date]]),IF(Invoices[[#This Row],[Paid Date]]="","",MAX(0,Invoices[[#This Row],[Paid Date]]-Invoices[[#This Row],[Due Date]])))</f>
        <v>0</v>
      </c>
      <c r="N74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43" spans="1:14" ht="17.100000000000001" customHeight="1" x14ac:dyDescent="0.2">
      <c r="A743" s="6" t="s">
        <v>771</v>
      </c>
      <c r="B743" s="7">
        <v>46287</v>
      </c>
      <c r="C743" s="8" t="s">
        <v>31</v>
      </c>
      <c r="D743" s="8" t="s">
        <v>6</v>
      </c>
      <c r="E743" s="9">
        <v>60</v>
      </c>
      <c r="F743" s="7">
        <v>46347</v>
      </c>
      <c r="G743" s="10">
        <v>9127.5</v>
      </c>
      <c r="H743" s="10">
        <v>1369.12</v>
      </c>
      <c r="I743" s="10">
        <v>10496.62</v>
      </c>
      <c r="J743" s="9" t="s">
        <v>545</v>
      </c>
      <c r="K743" s="7"/>
      <c r="L743" s="9" t="s">
        <v>3</v>
      </c>
      <c r="M743" s="11" cm="1">
        <f t="array" ref="M743">IF(Invoices[[#This Row],[Status]]="Open",MAX(0,AsOf-Invoices[[#This Row],[Due Date]]),IF(Invoices[[#This Row],[Paid Date]]="","",MAX(0,Invoices[[#This Row],[Paid Date]]-Invoices[[#This Row],[Due Date]])))</f>
        <v>0</v>
      </c>
      <c r="N743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44" spans="1:14" ht="17.100000000000001" customHeight="1" x14ac:dyDescent="0.2">
      <c r="A744" s="6" t="s">
        <v>772</v>
      </c>
      <c r="B744" s="7">
        <v>46288</v>
      </c>
      <c r="C744" s="8" t="s">
        <v>20</v>
      </c>
      <c r="D744" s="8" t="s">
        <v>21</v>
      </c>
      <c r="E744" s="9">
        <v>30</v>
      </c>
      <c r="F744" s="7">
        <v>46318</v>
      </c>
      <c r="G744" s="10">
        <v>2238.96</v>
      </c>
      <c r="H744" s="10">
        <v>335.84</v>
      </c>
      <c r="I744" s="10">
        <v>2574.8000000000002</v>
      </c>
      <c r="J744" s="9" t="s">
        <v>545</v>
      </c>
      <c r="K744" s="7"/>
      <c r="L744" s="9" t="s">
        <v>3</v>
      </c>
      <c r="M744" s="11" cm="1">
        <f t="array" ref="M744">IF(Invoices[[#This Row],[Status]]="Open",MAX(0,AsOf-Invoices[[#This Row],[Due Date]]),IF(Invoices[[#This Row],[Paid Date]]="","",MAX(0,Invoices[[#This Row],[Paid Date]]-Invoices[[#This Row],[Due Date]])))</f>
        <v>0</v>
      </c>
      <c r="N744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45" spans="1:14" ht="17.100000000000001" customHeight="1" x14ac:dyDescent="0.2">
      <c r="A745" s="6" t="s">
        <v>773</v>
      </c>
      <c r="B745" s="7">
        <v>46288</v>
      </c>
      <c r="C745" s="8" t="s">
        <v>69</v>
      </c>
      <c r="D745" s="8" t="s">
        <v>6</v>
      </c>
      <c r="E745" s="9">
        <v>45</v>
      </c>
      <c r="F745" s="7">
        <v>46333</v>
      </c>
      <c r="G745" s="10">
        <v>30886.3</v>
      </c>
      <c r="H745" s="10">
        <v>4632.9399999999996</v>
      </c>
      <c r="I745" s="10">
        <v>35519.24</v>
      </c>
      <c r="J745" s="9" t="s">
        <v>545</v>
      </c>
      <c r="K745" s="7"/>
      <c r="L745" s="9" t="s">
        <v>3</v>
      </c>
      <c r="M745" s="11" cm="1">
        <f t="array" ref="M745">IF(Invoices[[#This Row],[Status]]="Open",MAX(0,AsOf-Invoices[[#This Row],[Due Date]]),IF(Invoices[[#This Row],[Paid Date]]="","",MAX(0,Invoices[[#This Row],[Paid Date]]-Invoices[[#This Row],[Due Date]])))</f>
        <v>0</v>
      </c>
      <c r="N745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46" spans="1:14" ht="17.100000000000001" customHeight="1" x14ac:dyDescent="0.2">
      <c r="A746" s="6" t="s">
        <v>774</v>
      </c>
      <c r="B746" s="7">
        <v>46289</v>
      </c>
      <c r="C746" s="8" t="s">
        <v>24</v>
      </c>
      <c r="D746" s="8" t="s">
        <v>25</v>
      </c>
      <c r="E746" s="9">
        <v>60</v>
      </c>
      <c r="F746" s="7">
        <v>46349</v>
      </c>
      <c r="G746" s="10">
        <v>15450.67</v>
      </c>
      <c r="H746" s="10">
        <v>2317.6</v>
      </c>
      <c r="I746" s="10">
        <v>17768.27</v>
      </c>
      <c r="J746" s="9" t="s">
        <v>545</v>
      </c>
      <c r="K746" s="7"/>
      <c r="L746" s="9" t="s">
        <v>3</v>
      </c>
      <c r="M746" s="11" cm="1">
        <f t="array" ref="M746">IF(Invoices[[#This Row],[Status]]="Open",MAX(0,AsOf-Invoices[[#This Row],[Due Date]]),IF(Invoices[[#This Row],[Paid Date]]="","",MAX(0,Invoices[[#This Row],[Paid Date]]-Invoices[[#This Row],[Due Date]])))</f>
        <v>0</v>
      </c>
      <c r="N746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47" spans="1:14" ht="17.100000000000001" customHeight="1" x14ac:dyDescent="0.2">
      <c r="A747" s="6" t="s">
        <v>775</v>
      </c>
      <c r="B747" s="7">
        <v>46289</v>
      </c>
      <c r="C747" s="8" t="s">
        <v>34</v>
      </c>
      <c r="D747" s="8" t="s">
        <v>21</v>
      </c>
      <c r="E747" s="9">
        <v>30</v>
      </c>
      <c r="F747" s="7">
        <v>46319</v>
      </c>
      <c r="G747" s="10">
        <v>2632.9</v>
      </c>
      <c r="H747" s="10">
        <v>394.94</v>
      </c>
      <c r="I747" s="10">
        <v>3027.84</v>
      </c>
      <c r="J747" s="9" t="s">
        <v>545</v>
      </c>
      <c r="K747" s="7"/>
      <c r="L747" s="9" t="s">
        <v>3</v>
      </c>
      <c r="M747" s="11" cm="1">
        <f t="array" ref="M747">IF(Invoices[[#This Row],[Status]]="Open",MAX(0,AsOf-Invoices[[#This Row],[Due Date]]),IF(Invoices[[#This Row],[Paid Date]]="","",MAX(0,Invoices[[#This Row],[Paid Date]]-Invoices[[#This Row],[Due Date]])))</f>
        <v>0</v>
      </c>
      <c r="N747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48" spans="1:14" ht="17.100000000000001" customHeight="1" x14ac:dyDescent="0.2">
      <c r="A748" s="6" t="s">
        <v>776</v>
      </c>
      <c r="B748" s="7">
        <v>46289</v>
      </c>
      <c r="C748" s="8" t="s">
        <v>75</v>
      </c>
      <c r="D748" s="8" t="s">
        <v>21</v>
      </c>
      <c r="E748" s="9">
        <v>30</v>
      </c>
      <c r="F748" s="7">
        <v>46319</v>
      </c>
      <c r="G748" s="10">
        <v>4566.88</v>
      </c>
      <c r="H748" s="10">
        <v>685.03</v>
      </c>
      <c r="I748" s="10">
        <v>5251.91</v>
      </c>
      <c r="J748" s="9" t="s">
        <v>545</v>
      </c>
      <c r="K748" s="7"/>
      <c r="L748" s="9" t="s">
        <v>3</v>
      </c>
      <c r="M748" s="11" cm="1">
        <f t="array" ref="M748">IF(Invoices[[#This Row],[Status]]="Open",MAX(0,AsOf-Invoices[[#This Row],[Due Date]]),IF(Invoices[[#This Row],[Paid Date]]="","",MAX(0,Invoices[[#This Row],[Paid Date]]-Invoices[[#This Row],[Due Date]])))</f>
        <v>0</v>
      </c>
      <c r="N748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49" spans="1:14" ht="17.100000000000001" customHeight="1" x14ac:dyDescent="0.2">
      <c r="A749" s="6" t="s">
        <v>777</v>
      </c>
      <c r="B749" s="7">
        <v>46289</v>
      </c>
      <c r="C749" s="8" t="s">
        <v>13</v>
      </c>
      <c r="D749" s="8" t="s">
        <v>1</v>
      </c>
      <c r="E749" s="9">
        <v>30</v>
      </c>
      <c r="F749" s="7">
        <v>46319</v>
      </c>
      <c r="G749" s="10">
        <v>6759.36</v>
      </c>
      <c r="H749" s="10">
        <v>1013.9</v>
      </c>
      <c r="I749" s="10">
        <v>7773.26</v>
      </c>
      <c r="J749" s="9" t="s">
        <v>545</v>
      </c>
      <c r="K749" s="7"/>
      <c r="L749" s="9" t="s">
        <v>3</v>
      </c>
      <c r="M749" s="11" cm="1">
        <f t="array" ref="M749">IF(Invoices[[#This Row],[Status]]="Open",MAX(0,AsOf-Invoices[[#This Row],[Due Date]]),IF(Invoices[[#This Row],[Paid Date]]="","",MAX(0,Invoices[[#This Row],[Paid Date]]-Invoices[[#This Row],[Due Date]])))</f>
        <v>0</v>
      </c>
      <c r="N749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50" spans="1:14" ht="17.100000000000001" customHeight="1" x14ac:dyDescent="0.2">
      <c r="A750" s="6" t="s">
        <v>778</v>
      </c>
      <c r="B750" s="7">
        <v>46292</v>
      </c>
      <c r="C750" s="8" t="s">
        <v>5</v>
      </c>
      <c r="D750" s="8" t="s">
        <v>6</v>
      </c>
      <c r="E750" s="9">
        <v>45</v>
      </c>
      <c r="F750" s="7">
        <v>46337</v>
      </c>
      <c r="G750" s="10">
        <v>8608.81</v>
      </c>
      <c r="H750" s="10">
        <v>1291.32</v>
      </c>
      <c r="I750" s="10">
        <v>9900.1299999999992</v>
      </c>
      <c r="J750" s="9" t="s">
        <v>545</v>
      </c>
      <c r="K750" s="7"/>
      <c r="L750" s="9" t="s">
        <v>3</v>
      </c>
      <c r="M750" s="11" cm="1">
        <f t="array" ref="M750">IF(Invoices[[#This Row],[Status]]="Open",MAX(0,AsOf-Invoices[[#This Row],[Due Date]]),IF(Invoices[[#This Row],[Paid Date]]="","",MAX(0,Invoices[[#This Row],[Paid Date]]-Invoices[[#This Row],[Due Date]])))</f>
        <v>0</v>
      </c>
      <c r="N750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51" spans="1:14" ht="17.100000000000001" customHeight="1" x14ac:dyDescent="0.2">
      <c r="A751" s="6" t="s">
        <v>779</v>
      </c>
      <c r="B751" s="7">
        <v>46293</v>
      </c>
      <c r="C751" s="8" t="s">
        <v>8</v>
      </c>
      <c r="D751" s="8" t="s">
        <v>6</v>
      </c>
      <c r="E751" s="9">
        <v>45</v>
      </c>
      <c r="F751" s="7">
        <v>46338</v>
      </c>
      <c r="G751" s="10">
        <v>10725.12</v>
      </c>
      <c r="H751" s="10">
        <v>1608.77</v>
      </c>
      <c r="I751" s="10">
        <v>12333.89</v>
      </c>
      <c r="J751" s="9" t="s">
        <v>545</v>
      </c>
      <c r="K751" s="7"/>
      <c r="L751" s="9" t="s">
        <v>3</v>
      </c>
      <c r="M751" s="11" cm="1">
        <f t="array" ref="M751">IF(Invoices[[#This Row],[Status]]="Open",MAX(0,AsOf-Invoices[[#This Row],[Due Date]]),IF(Invoices[[#This Row],[Paid Date]]="","",MAX(0,Invoices[[#This Row],[Paid Date]]-Invoices[[#This Row],[Due Date]])))</f>
        <v>0</v>
      </c>
      <c r="N751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52" spans="1:14" ht="17.100000000000001" customHeight="1" x14ac:dyDescent="0.2">
      <c r="A752" s="6" t="s">
        <v>780</v>
      </c>
      <c r="B752" s="7">
        <v>46294</v>
      </c>
      <c r="C752" s="8" t="s">
        <v>5</v>
      </c>
      <c r="D752" s="8" t="s">
        <v>6</v>
      </c>
      <c r="E752" s="9">
        <v>45</v>
      </c>
      <c r="F752" s="7">
        <v>46339</v>
      </c>
      <c r="G752" s="10">
        <v>5249.76</v>
      </c>
      <c r="H752" s="10">
        <v>787.46</v>
      </c>
      <c r="I752" s="10">
        <v>6037.22</v>
      </c>
      <c r="J752" s="9" t="s">
        <v>545</v>
      </c>
      <c r="K752" s="7"/>
      <c r="L752" s="9" t="s">
        <v>3</v>
      </c>
      <c r="M752" s="11" cm="1">
        <f t="array" ref="M752">IF(Invoices[[#This Row],[Status]]="Open",MAX(0,AsOf-Invoices[[#This Row],[Due Date]]),IF(Invoices[[#This Row],[Paid Date]]="","",MAX(0,Invoices[[#This Row],[Paid Date]]-Invoices[[#This Row],[Due Date]])))</f>
        <v>0</v>
      </c>
      <c r="N752" s="9" t="str">
        <f>IF(COUNTIF(Invoices[Invoice No],Invoices[[#This Row],[Invoice No]])&gt;1,"Duplicate",IF(Invoices[[#This Row],[VAT (SAR)]]="","Missing VAT",IF(Invoices[[#This Row],[Due Date]]&lt;Invoices[[#This Row],[Invoice Date]],"Due before invoice",IF(AND(Invoices[[#This Row],[Paid Date]]&lt;&gt;"",Invoices[[#This Row],[Paid Date]]&lt;Invoices[[#This Row],[Invoice Date]]),"Paid before invoice","OK"))))</f>
        <v>OK</v>
      </c>
    </row>
    <row r="753" ht="17.100000000000001" customHeight="1" x14ac:dyDescent="0.2"/>
    <row r="754" ht="17.100000000000001" customHeight="1" x14ac:dyDescent="0.2"/>
    <row r="755" ht="17.100000000000001" customHeight="1" x14ac:dyDescent="0.2"/>
    <row r="756" ht="17.100000000000001" customHeight="1" x14ac:dyDescent="0.2"/>
    <row r="757" ht="17.100000000000001" customHeight="1" x14ac:dyDescent="0.2"/>
    <row r="758" ht="17.100000000000001" customHeight="1" x14ac:dyDescent="0.2"/>
    <row r="759" ht="17.100000000000001" customHeight="1" x14ac:dyDescent="0.2"/>
  </sheetData>
  <conditionalFormatting sqref="G5:I752">
    <cfRule type="cellIs" dxfId="7" priority="8" operator="lessThan">
      <formula>0</formula>
    </cfRule>
  </conditionalFormatting>
  <conditionalFormatting sqref="J5:J752">
    <cfRule type="containsText" dxfId="6" priority="1" operator="containsText" text="Paid">
      <formula>NOT(ISERROR(SEARCH("Paid",J5)))</formula>
    </cfRule>
    <cfRule type="containsText" dxfId="5" priority="2" operator="containsText" text="Open">
      <formula>NOT(ISERROR(SEARCH("Open",J5)))</formula>
    </cfRule>
    <cfRule type="containsText" dxfId="4" priority="3" operator="containsText" text="Credit">
      <formula>NOT(ISERROR(SEARCH("Credit",J5)))</formula>
    </cfRule>
  </conditionalFormatting>
  <conditionalFormatting sqref="M5:M752">
    <cfRule type="cellIs" dxfId="3" priority="7" operator="greaterThan">
      <formula>30</formula>
    </cfRule>
  </conditionalFormatting>
  <conditionalFormatting sqref="N5:N752">
    <cfRule type="containsText" dxfId="2" priority="4" operator="containsText" text="Duplicate">
      <formula>NOT(ISERROR(SEARCH("Duplicate",N5)))</formula>
    </cfRule>
    <cfRule type="containsText" dxfId="1" priority="5" operator="containsText" text="Missing">
      <formula>NOT(ISERROR(SEARCH("Missing",N5)))</formula>
    </cfRule>
    <cfRule type="containsText" dxfId="0" priority="6" operator="containsText" text="OK">
      <formula>NOT(ISERROR(SEARCH("OK",N5)))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ahmed.aljahdali</cp:lastModifiedBy>
  <dcterms:created xsi:type="dcterms:W3CDTF">2026-10-19T03:00:23Z</dcterms:created>
  <dcterms:modified xsi:type="dcterms:W3CDTF">2026-10-19T03:20:48Z</dcterms:modified>
</cp:coreProperties>
</file>
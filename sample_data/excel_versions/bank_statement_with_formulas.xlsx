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DB821E1-07B3-484D-A51B-507E8F2E78A3}" xr6:coauthVersionLast="47" xr6:coauthVersionMax="47" xr10:uidLastSave="{00000000-0000-0000-0000-000000000000}"/>
  <bookViews>
    <workbookView xWindow="28680" yWindow="-120" windowWidth="29040" windowHeight="15720" xr2:uid="{6112070A-2FC2-4E1A-A92E-9A30D3CF9440}"/>
  </bookViews>
  <sheets>
    <sheet name="Transactions" sheetId="1" r:id="rId1"/>
    <sheet name="Category Map" sheetId="2" r:id="rId2"/>
  </sheets>
  <definedNames>
    <definedName name="Opening" comment="Opening balance (SAR)">Transactions!$B$5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 a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D5" i="1" l="1"/>
  <c r="E5" i="1"/>
  <c r="F5" i="1"/>
  <c r="H5" i="1"/>
  <c r="A2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F8" i="1" a="1"/>
  <c r="F8" i="1" s="1"/>
  <c r="F9" i="1" a="1"/>
  <c r="F9" i="1" s="1"/>
  <c r="F10" i="1" a="1"/>
  <c r="F10" i="1" s="1"/>
  <c r="F11" i="1" a="1"/>
  <c r="F11" i="1" s="1"/>
  <c r="F12" i="1" a="1"/>
  <c r="F12" i="1" s="1"/>
  <c r="F13" i="1" a="1"/>
  <c r="F13" i="1" s="1"/>
  <c r="F14" i="1" a="1"/>
  <c r="F14" i="1" s="1"/>
  <c r="F15" i="1" a="1"/>
  <c r="F15" i="1" s="1"/>
  <c r="F16" i="1" a="1"/>
  <c r="F16" i="1" s="1"/>
  <c r="F17" i="1" a="1"/>
  <c r="F17" i="1" s="1"/>
  <c r="F18" i="1" a="1"/>
  <c r="F18" i="1" s="1"/>
  <c r="F19" i="1" a="1"/>
  <c r="F19" i="1" s="1"/>
  <c r="F20" i="1" a="1"/>
  <c r="F20" i="1" s="1"/>
  <c r="F21" i="1" a="1"/>
  <c r="F21" i="1" s="1"/>
  <c r="F22" i="1" a="1"/>
  <c r="F22" i="1" s="1"/>
  <c r="F23" i="1" a="1"/>
  <c r="F23" i="1" s="1"/>
  <c r="F24" i="1" a="1"/>
  <c r="F24" i="1" s="1"/>
  <c r="F25" i="1" a="1"/>
  <c r="F25" i="1" s="1"/>
  <c r="F26" i="1" a="1"/>
  <c r="F26" i="1" s="1"/>
  <c r="F27" i="1" a="1"/>
  <c r="F27" i="1" s="1"/>
  <c r="F28" i="1" a="1"/>
  <c r="F28" i="1" s="1"/>
  <c r="F29" i="1" a="1"/>
  <c r="F29" i="1" s="1"/>
  <c r="F30" i="1" a="1"/>
  <c r="F30" i="1" s="1"/>
  <c r="F31" i="1" a="1"/>
  <c r="F31" i="1" s="1"/>
  <c r="F32" i="1" a="1"/>
  <c r="F32" i="1" s="1"/>
  <c r="F33" i="1" a="1"/>
  <c r="F33" i="1" s="1"/>
  <c r="F34" i="1" a="1"/>
  <c r="F34" i="1" s="1"/>
  <c r="F35" i="1" a="1"/>
  <c r="F35" i="1" s="1"/>
  <c r="F36" i="1" a="1"/>
  <c r="F36" i="1" s="1"/>
  <c r="F37" i="1" a="1"/>
  <c r="F37" i="1"/>
  <c r="F38" i="1" a="1"/>
  <c r="F38" i="1" s="1"/>
  <c r="F39" i="1" a="1"/>
  <c r="F39" i="1" s="1"/>
  <c r="F40" i="1" a="1"/>
  <c r="F40" i="1" s="1"/>
  <c r="F41" i="1" a="1"/>
  <c r="F41" i="1" s="1"/>
  <c r="F42" i="1" a="1"/>
  <c r="F42" i="1" s="1"/>
  <c r="F43" i="1" a="1"/>
  <c r="F43" i="1" s="1"/>
  <c r="F44" i="1" a="1"/>
  <c r="F44" i="1" s="1"/>
  <c r="F45" i="1" a="1"/>
  <c r="F45" i="1"/>
  <c r="F46" i="1" a="1"/>
  <c r="F46" i="1" s="1"/>
  <c r="F47" i="1" a="1"/>
  <c r="F47" i="1" s="1"/>
  <c r="F48" i="1" a="1"/>
  <c r="F48" i="1" s="1"/>
  <c r="F49" i="1" a="1"/>
  <c r="F49" i="1" s="1"/>
  <c r="F50" i="1" a="1"/>
  <c r="F50" i="1" s="1"/>
  <c r="F51" i="1" a="1"/>
  <c r="F51" i="1" s="1"/>
  <c r="F52" i="1" a="1"/>
  <c r="F52" i="1" s="1"/>
  <c r="F53" i="1" a="1"/>
  <c r="F53" i="1" s="1"/>
  <c r="F54" i="1" a="1"/>
  <c r="F54" i="1" s="1"/>
  <c r="F55" i="1" a="1"/>
  <c r="F55" i="1" s="1"/>
  <c r="F56" i="1" a="1"/>
  <c r="F56" i="1" s="1"/>
  <c r="F57" i="1" a="1"/>
  <c r="F57" i="1" s="1"/>
  <c r="F58" i="1" a="1"/>
  <c r="F58" i="1" s="1"/>
  <c r="F59" i="1" a="1"/>
  <c r="F59" i="1" s="1"/>
  <c r="F60" i="1" a="1"/>
  <c r="F60" i="1" s="1"/>
  <c r="F61" i="1" a="1"/>
  <c r="F61" i="1" s="1"/>
  <c r="F62" i="1" a="1"/>
  <c r="F62" i="1" s="1"/>
  <c r="F63" i="1" a="1"/>
  <c r="F63" i="1" s="1"/>
  <c r="F64" i="1" a="1"/>
  <c r="F64" i="1" s="1"/>
  <c r="F65" i="1" a="1"/>
  <c r="F65" i="1"/>
  <c r="F66" i="1" a="1"/>
  <c r="F66" i="1" s="1"/>
  <c r="F67" i="1" a="1"/>
  <c r="F67" i="1" s="1"/>
  <c r="F68" i="1" a="1"/>
  <c r="F68" i="1" s="1"/>
  <c r="F69" i="1" a="1"/>
  <c r="F69" i="1" s="1"/>
  <c r="F70" i="1" a="1"/>
  <c r="F70" i="1" s="1"/>
  <c r="F71" i="1" a="1"/>
  <c r="F71" i="1" s="1"/>
  <c r="F72" i="1" a="1"/>
  <c r="F72" i="1" s="1"/>
  <c r="F73" i="1" a="1"/>
  <c r="F73" i="1" s="1"/>
  <c r="F74" i="1" a="1"/>
  <c r="F74" i="1"/>
  <c r="F75" i="1" a="1"/>
  <c r="F75" i="1" s="1"/>
  <c r="F76" i="1" a="1"/>
  <c r="F76" i="1" s="1"/>
  <c r="F77" i="1" a="1"/>
  <c r="F77" i="1"/>
  <c r="F78" i="1" a="1"/>
  <c r="F78" i="1" s="1"/>
  <c r="F79" i="1" a="1"/>
  <c r="F79" i="1" s="1"/>
  <c r="F80" i="1" a="1"/>
  <c r="F80" i="1" s="1"/>
  <c r="F81" i="1" a="1"/>
  <c r="F81" i="1" s="1"/>
  <c r="F82" i="1" a="1"/>
  <c r="F82" i="1" s="1"/>
  <c r="F83" i="1" a="1"/>
  <c r="F83" i="1" s="1"/>
  <c r="F84" i="1" a="1"/>
  <c r="F84" i="1"/>
  <c r="F85" i="1" a="1"/>
  <c r="F85" i="1"/>
  <c r="F86" i="1" a="1"/>
  <c r="F86" i="1" s="1"/>
  <c r="F87" i="1" a="1"/>
  <c r="F87" i="1" s="1"/>
  <c r="F88" i="1" a="1"/>
  <c r="F88" i="1" s="1"/>
  <c r="F89" i="1" a="1"/>
  <c r="F89" i="1" s="1"/>
  <c r="F90" i="1" a="1"/>
  <c r="F90" i="1" s="1"/>
  <c r="F91" i="1" a="1"/>
  <c r="F91" i="1" s="1"/>
  <c r="F92" i="1" a="1"/>
  <c r="F92" i="1" s="1"/>
  <c r="F93" i="1" a="1"/>
  <c r="F93" i="1" s="1"/>
  <c r="F94" i="1" a="1"/>
  <c r="F94" i="1" s="1"/>
  <c r="F95" i="1" a="1"/>
  <c r="F95" i="1"/>
  <c r="F96" i="1" a="1"/>
  <c r="F96" i="1" s="1"/>
  <c r="F97" i="1" a="1"/>
  <c r="F97" i="1"/>
  <c r="F98" i="1" a="1"/>
  <c r="F98" i="1" s="1"/>
  <c r="F99" i="1" a="1"/>
  <c r="F99" i="1" s="1"/>
  <c r="F100" i="1" a="1"/>
  <c r="F100" i="1" s="1"/>
  <c r="F101" i="1" a="1"/>
  <c r="F101" i="1" s="1"/>
  <c r="F102" i="1" a="1"/>
  <c r="F102" i="1" s="1"/>
  <c r="F103" i="1" a="1"/>
  <c r="F103" i="1" s="1"/>
  <c r="F104" i="1" a="1"/>
  <c r="F104" i="1" s="1"/>
  <c r="F105" i="1" a="1"/>
  <c r="F105" i="1" s="1"/>
  <c r="F106" i="1" a="1"/>
  <c r="F106" i="1" s="1"/>
  <c r="F107" i="1" a="1"/>
  <c r="F107" i="1" s="1"/>
  <c r="F108" i="1" a="1"/>
  <c r="F108" i="1" s="1"/>
  <c r="F109" i="1" a="1"/>
  <c r="F109" i="1" s="1"/>
  <c r="F110" i="1" a="1"/>
  <c r="F110" i="1" s="1"/>
  <c r="F111" i="1" a="1"/>
  <c r="F111" i="1" s="1"/>
  <c r="F112" i="1" a="1"/>
  <c r="F112" i="1" s="1"/>
  <c r="F113" i="1" a="1"/>
  <c r="F113" i="1" s="1"/>
  <c r="F114" i="1" a="1"/>
  <c r="F114" i="1" s="1"/>
  <c r="F115" i="1" a="1"/>
  <c r="F115" i="1" s="1"/>
  <c r="F116" i="1" a="1"/>
  <c r="F116" i="1" s="1"/>
  <c r="F117" i="1" a="1"/>
  <c r="F117" i="1"/>
  <c r="F118" i="1" a="1"/>
  <c r="F118" i="1" s="1"/>
  <c r="F119" i="1" a="1"/>
  <c r="F119" i="1" s="1"/>
  <c r="F120" i="1" a="1"/>
  <c r="F120" i="1" s="1"/>
  <c r="F121" i="1" a="1"/>
  <c r="F121" i="1" s="1"/>
  <c r="F122" i="1" a="1"/>
  <c r="F122" i="1" s="1"/>
  <c r="F123" i="1" a="1"/>
  <c r="F123" i="1" s="1"/>
  <c r="F124" i="1" a="1"/>
  <c r="F124" i="1"/>
  <c r="F125" i="1" a="1"/>
  <c r="F125" i="1" s="1"/>
  <c r="F126" i="1" a="1"/>
  <c r="F126" i="1" s="1"/>
  <c r="F127" i="1" a="1"/>
  <c r="F127" i="1" s="1"/>
  <c r="F128" i="1" a="1"/>
  <c r="F128" i="1" s="1"/>
  <c r="F129" i="1" a="1"/>
  <c r="F129" i="1" s="1"/>
  <c r="F130" i="1" a="1"/>
  <c r="F130" i="1" s="1"/>
  <c r="F131" i="1" a="1"/>
  <c r="F131" i="1" s="1"/>
  <c r="F132" i="1" a="1"/>
  <c r="F132" i="1" s="1"/>
  <c r="F133" i="1" a="1"/>
  <c r="F133" i="1" s="1"/>
  <c r="F134" i="1" a="1"/>
  <c r="F134" i="1" s="1"/>
  <c r="F135" i="1" a="1"/>
  <c r="F135" i="1"/>
  <c r="F136" i="1" a="1"/>
  <c r="F136" i="1" s="1"/>
  <c r="F137" i="1" a="1"/>
  <c r="F137" i="1"/>
  <c r="F138" i="1" a="1"/>
  <c r="F138" i="1" s="1"/>
  <c r="F139" i="1" a="1"/>
  <c r="F139" i="1" s="1"/>
  <c r="F140" i="1" a="1"/>
  <c r="F140" i="1" s="1"/>
  <c r="F141" i="1" a="1"/>
  <c r="F141" i="1" s="1"/>
  <c r="F142" i="1" a="1"/>
  <c r="F142" i="1" s="1"/>
  <c r="F143" i="1" a="1"/>
  <c r="F143" i="1" s="1"/>
  <c r="F144" i="1" a="1"/>
  <c r="F144" i="1"/>
  <c r="F145" i="1" a="1"/>
  <c r="F145" i="1" s="1"/>
  <c r="F146" i="1" a="1"/>
  <c r="F146" i="1" s="1"/>
  <c r="F147" i="1" a="1"/>
  <c r="F147" i="1"/>
  <c r="F148" i="1" a="1"/>
  <c r="F148" i="1" s="1"/>
  <c r="F149" i="1" a="1"/>
  <c r="F149" i="1" s="1"/>
  <c r="F150" i="1" a="1"/>
  <c r="F150" i="1" s="1"/>
  <c r="F151" i="1" a="1"/>
  <c r="F151" i="1" s="1"/>
  <c r="F152" i="1" a="1"/>
  <c r="F152" i="1" s="1"/>
  <c r="F153" i="1" a="1"/>
  <c r="F153" i="1" s="1"/>
  <c r="F154" i="1" a="1"/>
  <c r="F154" i="1"/>
  <c r="F155" i="1" a="1"/>
  <c r="F155" i="1"/>
  <c r="F156" i="1" a="1"/>
  <c r="F156" i="1" s="1"/>
  <c r="F157" i="1" a="1"/>
  <c r="F157" i="1" s="1"/>
  <c r="F158" i="1" a="1"/>
  <c r="F158" i="1" s="1"/>
  <c r="F159" i="1" a="1"/>
  <c r="F159" i="1" s="1"/>
  <c r="F160" i="1" a="1"/>
  <c r="F160" i="1" s="1"/>
  <c r="F161" i="1" a="1"/>
  <c r="F161" i="1" s="1"/>
  <c r="F162" i="1" a="1"/>
  <c r="F162" i="1" s="1"/>
  <c r="F163" i="1" a="1"/>
  <c r="F163" i="1" s="1"/>
  <c r="F164" i="1" a="1"/>
  <c r="F164" i="1"/>
  <c r="F165" i="1" a="1"/>
  <c r="F165" i="1"/>
  <c r="F166" i="1" a="1"/>
  <c r="F166" i="1" s="1"/>
  <c r="F167" i="1" a="1"/>
  <c r="F167" i="1" s="1"/>
  <c r="F168" i="1" a="1"/>
  <c r="F168" i="1" s="1"/>
  <c r="F169" i="1" a="1"/>
  <c r="F169" i="1" s="1"/>
  <c r="F170" i="1" a="1"/>
  <c r="F170" i="1" s="1"/>
  <c r="F171" i="1" a="1"/>
  <c r="F171" i="1" s="1"/>
  <c r="F172" i="1" a="1"/>
  <c r="F172" i="1" s="1"/>
  <c r="F173" i="1" a="1"/>
  <c r="F173" i="1" s="1"/>
  <c r="F174" i="1" a="1"/>
  <c r="F174" i="1" s="1"/>
  <c r="F175" i="1" a="1"/>
  <c r="F175" i="1"/>
  <c r="F176" i="1" a="1"/>
  <c r="F176" i="1" s="1"/>
  <c r="F177" i="1" a="1"/>
  <c r="F177" i="1" s="1"/>
  <c r="F178" i="1" a="1"/>
  <c r="F178" i="1" s="1"/>
  <c r="F179" i="1" a="1"/>
  <c r="F179" i="1" s="1"/>
  <c r="F180" i="1" a="1"/>
  <c r="F180" i="1" s="1"/>
  <c r="F181" i="1" a="1"/>
  <c r="F181" i="1" s="1"/>
  <c r="F182" i="1" a="1"/>
  <c r="F182" i="1" s="1"/>
  <c r="F183" i="1" a="1"/>
  <c r="F183" i="1" s="1"/>
  <c r="F184" i="1" a="1"/>
  <c r="F184" i="1" s="1"/>
  <c r="F185" i="1" a="1"/>
  <c r="F185" i="1" s="1"/>
  <c r="F186" i="1" a="1"/>
  <c r="F186" i="1" s="1"/>
  <c r="F187" i="1" a="1"/>
  <c r="F187" i="1" s="1"/>
  <c r="F188" i="1" a="1"/>
  <c r="F188" i="1" s="1"/>
  <c r="F189" i="1" a="1"/>
  <c r="F189" i="1" s="1"/>
  <c r="F190" i="1" a="1"/>
  <c r="F190" i="1" s="1"/>
  <c r="F191" i="1" a="1"/>
  <c r="F191" i="1" s="1"/>
  <c r="F192" i="1" a="1"/>
  <c r="F192" i="1" s="1"/>
  <c r="F193" i="1" a="1"/>
  <c r="F193" i="1" s="1"/>
  <c r="F194" i="1" a="1"/>
  <c r="F194" i="1"/>
  <c r="F195" i="1" a="1"/>
  <c r="F195" i="1"/>
  <c r="F196" i="1" a="1"/>
  <c r="F196" i="1" s="1"/>
  <c r="F197" i="1" a="1"/>
  <c r="F197" i="1" s="1"/>
  <c r="F198" i="1" a="1"/>
  <c r="F198" i="1" s="1"/>
  <c r="F199" i="1" a="1"/>
  <c r="F199" i="1" s="1"/>
  <c r="F200" i="1" a="1"/>
  <c r="F200" i="1" s="1"/>
  <c r="F201" i="1" a="1"/>
  <c r="F201" i="1" s="1"/>
  <c r="F202" i="1" a="1"/>
  <c r="F202" i="1" s="1"/>
  <c r="F203" i="1" a="1"/>
  <c r="F203" i="1" s="1"/>
  <c r="F204" i="1" a="1"/>
  <c r="F204" i="1"/>
  <c r="F205" i="1" a="1"/>
  <c r="F205" i="1"/>
  <c r="F206" i="1" a="1"/>
  <c r="F206" i="1" s="1"/>
  <c r="F207" i="1" a="1"/>
  <c r="F207" i="1" s="1"/>
  <c r="F208" i="1" a="1"/>
  <c r="F208" i="1" s="1"/>
  <c r="F209" i="1" a="1"/>
  <c r="F209" i="1" s="1"/>
  <c r="F210" i="1" a="1"/>
  <c r="F210" i="1" s="1"/>
  <c r="F211" i="1" a="1"/>
  <c r="F211" i="1" s="1"/>
  <c r="F212" i="1" a="1"/>
  <c r="F212" i="1" s="1"/>
  <c r="F213" i="1" a="1"/>
  <c r="F213" i="1" s="1"/>
  <c r="F214" i="1" a="1"/>
  <c r="F214" i="1"/>
  <c r="F215" i="1" a="1"/>
  <c r="F215" i="1"/>
  <c r="F216" i="1" a="1"/>
  <c r="F216" i="1" s="1"/>
  <c r="F217" i="1" a="1"/>
  <c r="F217" i="1" s="1"/>
  <c r="F218" i="1" a="1"/>
  <c r="F218" i="1" s="1"/>
  <c r="F219" i="1" a="1"/>
  <c r="F219" i="1" s="1"/>
  <c r="F220" i="1" a="1"/>
  <c r="F220" i="1" s="1"/>
  <c r="F221" i="1" a="1"/>
  <c r="F221" i="1" s="1"/>
  <c r="F222" i="1" a="1"/>
  <c r="F222" i="1" s="1"/>
  <c r="F223" i="1" a="1"/>
  <c r="F223" i="1" s="1"/>
  <c r="F224" i="1" a="1"/>
  <c r="F224" i="1" s="1"/>
  <c r="F225" i="1" a="1"/>
  <c r="F225" i="1"/>
  <c r="F226" i="1" a="1"/>
  <c r="F226" i="1" s="1"/>
  <c r="F227" i="1" a="1"/>
  <c r="F227" i="1" s="1"/>
  <c r="F228" i="1" a="1"/>
  <c r="F228" i="1" s="1"/>
  <c r="F229" i="1" a="1"/>
  <c r="F229" i="1" s="1"/>
  <c r="F230" i="1" a="1"/>
  <c r="F230" i="1" s="1"/>
  <c r="F231" i="1" a="1"/>
  <c r="F231" i="1" s="1"/>
  <c r="F232" i="1" a="1"/>
  <c r="F232" i="1" s="1"/>
  <c r="F233" i="1" a="1"/>
  <c r="F233" i="1" s="1"/>
  <c r="F234" i="1" a="1"/>
  <c r="F234" i="1" s="1"/>
  <c r="F235" i="1" a="1"/>
  <c r="F235" i="1" s="1"/>
  <c r="F236" i="1" a="1"/>
  <c r="F236" i="1" s="1"/>
  <c r="F237" i="1" a="1"/>
  <c r="F237" i="1" s="1"/>
  <c r="F238" i="1" a="1"/>
  <c r="F238" i="1" s="1"/>
  <c r="F239" i="1" a="1"/>
  <c r="F239" i="1" s="1"/>
  <c r="F240" i="1" a="1"/>
  <c r="F240" i="1" s="1"/>
  <c r="F241" i="1" a="1"/>
  <c r="F241" i="1" s="1"/>
  <c r="F242" i="1" a="1"/>
  <c r="F242" i="1" s="1"/>
  <c r="F243" i="1" a="1"/>
  <c r="F243" i="1" s="1"/>
  <c r="F244" i="1" a="1"/>
  <c r="F244" i="1"/>
  <c r="F245" i="1" a="1"/>
  <c r="F245" i="1"/>
  <c r="F246" i="1" a="1"/>
  <c r="F246" i="1" s="1"/>
  <c r="F247" i="1" a="1"/>
  <c r="F247" i="1" s="1"/>
  <c r="F248" i="1" a="1"/>
  <c r="F248" i="1" s="1"/>
  <c r="F249" i="1" a="1"/>
  <c r="F249" i="1" s="1"/>
  <c r="F250" i="1" a="1"/>
  <c r="F250" i="1" s="1"/>
  <c r="F251" i="1" a="1"/>
  <c r="F251" i="1" s="1"/>
  <c r="F252" i="1" a="1"/>
  <c r="F252" i="1" s="1"/>
  <c r="F253" i="1" a="1"/>
  <c r="F253" i="1" s="1"/>
  <c r="F254" i="1" a="1"/>
  <c r="F254" i="1"/>
  <c r="F255" i="1" a="1"/>
  <c r="F255" i="1"/>
  <c r="F256" i="1" a="1"/>
  <c r="F256" i="1" s="1"/>
  <c r="F257" i="1" a="1"/>
  <c r="F257" i="1" s="1"/>
  <c r="F258" i="1" a="1"/>
  <c r="F258" i="1" s="1"/>
  <c r="F259" i="1" a="1"/>
  <c r="F259" i="1" s="1"/>
  <c r="F260" i="1" a="1"/>
  <c r="F260" i="1" s="1"/>
  <c r="F261" i="1" a="1"/>
  <c r="F261" i="1" s="1"/>
  <c r="F262" i="1" a="1"/>
  <c r="F262" i="1" s="1"/>
  <c r="F263" i="1" a="1"/>
  <c r="F263" i="1" s="1"/>
  <c r="F264" i="1" a="1"/>
  <c r="F264" i="1"/>
  <c r="F265" i="1" a="1"/>
  <c r="F265" i="1"/>
  <c r="F266" i="1" a="1"/>
  <c r="F266" i="1" s="1"/>
  <c r="F267" i="1" a="1"/>
  <c r="F267" i="1" s="1"/>
  <c r="F268" i="1" a="1"/>
  <c r="F268" i="1" s="1"/>
  <c r="F269" i="1" a="1"/>
  <c r="F269" i="1" s="1"/>
  <c r="F270" i="1" a="1"/>
  <c r="F270" i="1" s="1"/>
  <c r="F271" i="1" a="1"/>
  <c r="F271" i="1" s="1"/>
  <c r="F272" i="1" a="1"/>
  <c r="F272" i="1" s="1"/>
  <c r="F273" i="1" a="1"/>
  <c r="F273" i="1" s="1"/>
  <c r="F274" i="1" a="1"/>
  <c r="F274" i="1" s="1"/>
  <c r="F275" i="1" a="1"/>
  <c r="F275" i="1"/>
  <c r="F276" i="1" a="1"/>
  <c r="F276" i="1" s="1"/>
  <c r="F277" i="1" a="1"/>
  <c r="F277" i="1" s="1"/>
  <c r="F278" i="1" a="1"/>
  <c r="F278" i="1" s="1"/>
  <c r="F279" i="1" a="1"/>
  <c r="F279" i="1" s="1"/>
  <c r="F280" i="1" a="1"/>
  <c r="F280" i="1" s="1"/>
  <c r="F281" i="1" a="1"/>
  <c r="F281" i="1" s="1"/>
  <c r="F282" i="1" a="1"/>
  <c r="F282" i="1" s="1"/>
  <c r="F283" i="1" a="1"/>
  <c r="F283" i="1" s="1"/>
  <c r="F284" i="1" a="1"/>
  <c r="F284" i="1" s="1"/>
  <c r="F285" i="1" a="1"/>
  <c r="F285" i="1" s="1"/>
  <c r="F286" i="1" a="1"/>
  <c r="F286" i="1" s="1"/>
  <c r="F287" i="1" a="1"/>
  <c r="F287" i="1" s="1"/>
  <c r="F288" i="1" a="1"/>
  <c r="F288" i="1" s="1"/>
  <c r="F289" i="1" a="1"/>
  <c r="F289" i="1" s="1"/>
  <c r="F290" i="1" a="1"/>
  <c r="F290" i="1" s="1"/>
  <c r="F291" i="1" a="1"/>
  <c r="F291" i="1" s="1"/>
  <c r="F292" i="1" a="1"/>
  <c r="F292" i="1" s="1"/>
  <c r="F293" i="1" a="1"/>
  <c r="F293" i="1" s="1"/>
  <c r="F294" i="1" a="1"/>
  <c r="F294" i="1"/>
  <c r="F295" i="1" a="1"/>
  <c r="F295" i="1"/>
  <c r="F296" i="1" a="1"/>
  <c r="F296" i="1" s="1"/>
  <c r="F297" i="1" a="1"/>
  <c r="F297" i="1" s="1"/>
  <c r="F298" i="1" a="1"/>
  <c r="F298" i="1" s="1"/>
  <c r="F299" i="1" a="1"/>
  <c r="F299" i="1" s="1"/>
  <c r="F300" i="1" a="1"/>
  <c r="F300" i="1" s="1"/>
  <c r="F301" i="1" a="1"/>
  <c r="F301" i="1" s="1"/>
  <c r="F302" i="1" a="1"/>
  <c r="F302" i="1" s="1"/>
  <c r="F303" i="1" a="1"/>
  <c r="F303" i="1" s="1"/>
  <c r="F304" i="1" a="1"/>
  <c r="F304" i="1"/>
  <c r="F305" i="1" a="1"/>
  <c r="F305" i="1"/>
  <c r="F306" i="1" a="1"/>
  <c r="F306" i="1" s="1"/>
  <c r="F307" i="1" a="1"/>
  <c r="F307" i="1" s="1"/>
  <c r="F308" i="1" a="1"/>
  <c r="F308" i="1" s="1"/>
  <c r="F309" i="1" a="1"/>
  <c r="F309" i="1" s="1"/>
  <c r="F310" i="1" a="1"/>
  <c r="F310" i="1" s="1"/>
  <c r="F311" i="1" a="1"/>
  <c r="F311" i="1" s="1"/>
  <c r="F312" i="1" a="1"/>
  <c r="F312" i="1" s="1"/>
  <c r="F313" i="1" a="1"/>
  <c r="F313" i="1" s="1"/>
  <c r="F314" i="1" a="1"/>
  <c r="F314" i="1" s="1"/>
  <c r="F315" i="1" a="1"/>
  <c r="F315" i="1" s="1"/>
  <c r="F316" i="1" a="1"/>
  <c r="F316" i="1" s="1"/>
  <c r="F317" i="1" a="1"/>
  <c r="F317" i="1" s="1"/>
  <c r="F318" i="1" a="1"/>
  <c r="F318" i="1" s="1"/>
  <c r="F319" i="1" a="1"/>
  <c r="F319" i="1" s="1"/>
  <c r="F320" i="1" a="1"/>
  <c r="F320" i="1" s="1"/>
  <c r="F321" i="1" a="1"/>
  <c r="F321" i="1" s="1"/>
  <c r="F322" i="1" a="1"/>
  <c r="F322" i="1" s="1"/>
  <c r="F323" i="1" a="1"/>
  <c r="F323" i="1" s="1"/>
  <c r="F324" i="1" a="1"/>
  <c r="F324" i="1" s="1"/>
  <c r="F325" i="1" a="1"/>
  <c r="F325" i="1" s="1"/>
  <c r="F326" i="1" a="1"/>
  <c r="F326" i="1" s="1"/>
  <c r="F327" i="1" a="1"/>
  <c r="F327" i="1" s="1"/>
  <c r="F328" i="1" a="1"/>
  <c r="F328" i="1" s="1"/>
  <c r="F329" i="1" a="1"/>
  <c r="F329" i="1" s="1"/>
  <c r="F330" i="1" a="1"/>
  <c r="F330" i="1" s="1"/>
  <c r="F331" i="1" a="1"/>
  <c r="F331" i="1" s="1"/>
  <c r="F332" i="1" a="1"/>
  <c r="F332" i="1" s="1"/>
  <c r="F333" i="1" a="1"/>
  <c r="F333" i="1" s="1"/>
  <c r="F334" i="1" a="1"/>
  <c r="F334" i="1" s="1"/>
  <c r="F335" i="1" a="1"/>
  <c r="F335" i="1" s="1"/>
  <c r="F336" i="1" a="1"/>
  <c r="F336" i="1" s="1"/>
  <c r="F337" i="1" a="1"/>
  <c r="F337" i="1" s="1"/>
  <c r="F338" i="1" a="1"/>
  <c r="F338" i="1" s="1"/>
  <c r="F339" i="1" a="1"/>
  <c r="F339" i="1" s="1"/>
  <c r="F340" i="1" a="1"/>
  <c r="F340" i="1" s="1"/>
  <c r="F341" i="1" a="1"/>
  <c r="F341" i="1" s="1"/>
  <c r="F342" i="1" a="1"/>
  <c r="F342" i="1" s="1"/>
  <c r="F343" i="1" a="1"/>
  <c r="F343" i="1" s="1"/>
  <c r="F344" i="1" a="1"/>
  <c r="F344" i="1" s="1"/>
  <c r="F345" i="1" a="1"/>
  <c r="F345" i="1" s="1"/>
  <c r="F346" i="1" a="1"/>
  <c r="F346" i="1" s="1"/>
  <c r="F347" i="1" a="1"/>
  <c r="F347" i="1" s="1"/>
  <c r="F348" i="1" a="1"/>
  <c r="F348" i="1" s="1"/>
  <c r="F349" i="1" a="1"/>
  <c r="F349" i="1" s="1"/>
  <c r="F350" i="1" a="1"/>
  <c r="F350" i="1" s="1"/>
  <c r="F351" i="1" a="1"/>
  <c r="F351" i="1" s="1"/>
  <c r="F352" i="1" a="1"/>
  <c r="F352" i="1" s="1"/>
  <c r="F353" i="1" a="1"/>
  <c r="F353" i="1" s="1"/>
  <c r="F354" i="1" a="1"/>
  <c r="F354" i="1" s="1"/>
  <c r="F355" i="1" a="1"/>
  <c r="F355" i="1" s="1"/>
  <c r="F356" i="1" a="1"/>
  <c r="F356" i="1" s="1"/>
  <c r="F357" i="1" a="1"/>
  <c r="F357" i="1" s="1"/>
  <c r="F358" i="1" a="1"/>
  <c r="F358" i="1" s="1"/>
  <c r="F359" i="1" a="1"/>
  <c r="F359" i="1" s="1"/>
  <c r="F360" i="1" a="1"/>
  <c r="F360" i="1" s="1"/>
  <c r="F361" i="1" a="1"/>
  <c r="F361" i="1" s="1"/>
  <c r="F362" i="1" a="1"/>
  <c r="F362" i="1" s="1"/>
  <c r="F363" i="1" a="1"/>
  <c r="F363" i="1" s="1"/>
  <c r="F364" i="1" a="1"/>
  <c r="F364" i="1" s="1"/>
  <c r="F365" i="1" a="1"/>
  <c r="F365" i="1" s="1"/>
  <c r="F366" i="1" a="1"/>
  <c r="F366" i="1" s="1"/>
  <c r="F367" i="1" a="1"/>
  <c r="F367" i="1" s="1"/>
  <c r="F368" i="1" a="1"/>
  <c r="F368" i="1" s="1"/>
  <c r="F369" i="1" a="1"/>
  <c r="F369" i="1" s="1"/>
  <c r="F370" i="1" a="1"/>
  <c r="F370" i="1" s="1"/>
  <c r="F371" i="1" a="1"/>
  <c r="F371" i="1" s="1"/>
  <c r="F372" i="1" a="1"/>
  <c r="F372" i="1" s="1"/>
  <c r="F373" i="1" a="1"/>
  <c r="F373" i="1" s="1"/>
  <c r="F374" i="1" a="1"/>
  <c r="F374" i="1" s="1"/>
  <c r="F375" i="1" a="1"/>
  <c r="F375" i="1" s="1"/>
  <c r="F376" i="1" a="1"/>
  <c r="F376" i="1" s="1"/>
  <c r="F377" i="1" a="1"/>
  <c r="F377" i="1" s="1"/>
  <c r="F378" i="1" a="1"/>
  <c r="F378" i="1" s="1"/>
  <c r="F379" i="1" a="1"/>
  <c r="F379" i="1" s="1"/>
  <c r="F380" i="1" a="1"/>
  <c r="F380" i="1" s="1"/>
  <c r="F381" i="1" a="1"/>
  <c r="F381" i="1" s="1"/>
  <c r="F382" i="1" a="1"/>
  <c r="F382" i="1" s="1"/>
  <c r="F383" i="1" a="1"/>
  <c r="F383" i="1" s="1"/>
  <c r="F384" i="1" a="1"/>
  <c r="F384" i="1" s="1"/>
  <c r="F385" i="1" a="1"/>
  <c r="F385" i="1" s="1"/>
  <c r="F386" i="1" a="1"/>
  <c r="F386" i="1" s="1"/>
  <c r="F387" i="1" a="1"/>
  <c r="F387" i="1" s="1"/>
  <c r="F388" i="1" a="1"/>
  <c r="F388" i="1" s="1"/>
  <c r="F389" i="1" a="1"/>
  <c r="F389" i="1" s="1"/>
  <c r="F390" i="1" a="1"/>
  <c r="F390" i="1" s="1"/>
  <c r="F391" i="1" a="1"/>
  <c r="F391" i="1" s="1"/>
  <c r="F392" i="1" a="1"/>
  <c r="F392" i="1" s="1"/>
  <c r="F393" i="1" a="1"/>
  <c r="F393" i="1" s="1"/>
  <c r="F394" i="1" a="1"/>
  <c r="F394" i="1" s="1"/>
  <c r="F395" i="1" a="1"/>
  <c r="F395" i="1" s="1"/>
  <c r="F396" i="1" a="1"/>
  <c r="F396" i="1" s="1"/>
  <c r="F397" i="1" a="1"/>
  <c r="F397" i="1" s="1"/>
  <c r="F398" i="1" a="1"/>
  <c r="F398" i="1" s="1"/>
  <c r="F399" i="1" a="1"/>
  <c r="F399" i="1" s="1"/>
  <c r="F400" i="1" a="1"/>
  <c r="F400" i="1" s="1"/>
  <c r="F401" i="1" a="1"/>
  <c r="F401" i="1" s="1"/>
  <c r="F402" i="1" a="1"/>
  <c r="F402" i="1" s="1"/>
  <c r="F403" i="1" a="1"/>
  <c r="F403" i="1" s="1"/>
  <c r="F404" i="1" a="1"/>
  <c r="F404" i="1" s="1"/>
  <c r="F405" i="1" a="1"/>
  <c r="F405" i="1" s="1"/>
  <c r="F406" i="1" a="1"/>
  <c r="F406" i="1" s="1"/>
  <c r="F407" i="1" a="1"/>
  <c r="F407" i="1" s="1"/>
  <c r="F408" i="1" a="1"/>
  <c r="F408" i="1" s="1"/>
  <c r="F409" i="1" a="1"/>
  <c r="F409" i="1" s="1"/>
  <c r="F410" i="1" a="1"/>
  <c r="F410" i="1" s="1"/>
  <c r="F411" i="1" a="1"/>
  <c r="F411" i="1" s="1"/>
  <c r="F412" i="1" a="1"/>
  <c r="F412" i="1" s="1"/>
  <c r="F413" i="1" a="1"/>
  <c r="F413" i="1" s="1"/>
  <c r="F414" i="1" a="1"/>
  <c r="F414" i="1" s="1"/>
  <c r="F415" i="1" a="1"/>
  <c r="F415" i="1" s="1"/>
  <c r="F416" i="1" a="1"/>
  <c r="F416" i="1" s="1"/>
  <c r="F417" i="1" a="1"/>
  <c r="F417" i="1" s="1"/>
  <c r="F418" i="1" a="1"/>
  <c r="F418" i="1" s="1"/>
  <c r="F419" i="1" a="1"/>
  <c r="F419" i="1" s="1"/>
  <c r="F420" i="1" a="1"/>
  <c r="F420" i="1" s="1"/>
  <c r="F421" i="1" a="1"/>
  <c r="F421" i="1" s="1"/>
  <c r="F422" i="1" a="1"/>
  <c r="F422" i="1" s="1"/>
  <c r="F423" i="1" a="1"/>
  <c r="F423" i="1" s="1"/>
  <c r="F424" i="1" a="1"/>
  <c r="F424" i="1" s="1"/>
  <c r="F425" i="1" a="1"/>
  <c r="F425" i="1" s="1"/>
  <c r="F426" i="1" a="1"/>
  <c r="F426" i="1" s="1"/>
  <c r="F427" i="1" a="1"/>
  <c r="F427" i="1" s="1"/>
  <c r="F428" i="1" a="1"/>
  <c r="F428" i="1" s="1"/>
  <c r="F429" i="1" a="1"/>
  <c r="F429" i="1" s="1"/>
  <c r="F430" i="1" a="1"/>
  <c r="F430" i="1" s="1"/>
  <c r="F431" i="1" a="1"/>
  <c r="F431" i="1" s="1"/>
  <c r="F432" i="1" a="1"/>
  <c r="F432" i="1" s="1"/>
  <c r="F433" i="1" a="1"/>
  <c r="F433" i="1" s="1"/>
  <c r="F434" i="1" a="1"/>
  <c r="F434" i="1" s="1"/>
  <c r="F435" i="1" a="1"/>
  <c r="F435" i="1" s="1"/>
  <c r="F436" i="1" a="1"/>
  <c r="F436" i="1" s="1"/>
  <c r="F437" i="1" a="1"/>
  <c r="F437" i="1" s="1"/>
  <c r="F438" i="1" a="1"/>
  <c r="F438" i="1" s="1"/>
  <c r="F439" i="1" a="1"/>
  <c r="F439" i="1" s="1"/>
  <c r="F440" i="1" a="1"/>
  <c r="F440" i="1" s="1"/>
  <c r="F441" i="1" a="1"/>
  <c r="F441" i="1" s="1"/>
  <c r="F442" i="1" a="1"/>
  <c r="F442" i="1" s="1"/>
  <c r="F443" i="1" a="1"/>
  <c r="F443" i="1" s="1"/>
  <c r="F444" i="1" a="1"/>
  <c r="F444" i="1" s="1"/>
  <c r="F445" i="1" a="1"/>
  <c r="F445" i="1" s="1"/>
  <c r="F446" i="1" a="1"/>
  <c r="F446" i="1" s="1"/>
  <c r="F447" i="1" a="1"/>
  <c r="F447" i="1" s="1"/>
  <c r="F448" i="1" a="1"/>
  <c r="F448" i="1" s="1"/>
  <c r="F449" i="1" a="1"/>
  <c r="F449" i="1" s="1"/>
  <c r="F450" i="1" a="1"/>
  <c r="F450" i="1" s="1"/>
  <c r="F451" i="1" a="1"/>
  <c r="F451" i="1" s="1"/>
  <c r="F452" i="1" a="1"/>
  <c r="F452" i="1" s="1"/>
  <c r="F453" i="1" a="1"/>
  <c r="F453" i="1" s="1"/>
  <c r="F454" i="1" a="1"/>
  <c r="F454" i="1" s="1"/>
  <c r="F455" i="1" a="1"/>
  <c r="F455" i="1" s="1"/>
  <c r="F456" i="1" a="1"/>
  <c r="F456" i="1" s="1"/>
  <c r="F457" i="1" a="1"/>
  <c r="F457" i="1" s="1"/>
  <c r="F458" i="1" a="1"/>
  <c r="F458" i="1" s="1"/>
  <c r="F459" i="1" a="1"/>
  <c r="F459" i="1" s="1"/>
  <c r="F460" i="1" a="1"/>
  <c r="F460" i="1" s="1"/>
  <c r="F461" i="1" a="1"/>
  <c r="F461" i="1" s="1"/>
  <c r="F462" i="1" a="1"/>
  <c r="F462" i="1" s="1"/>
  <c r="F463" i="1" a="1"/>
  <c r="F463" i="1" s="1"/>
  <c r="F464" i="1" a="1"/>
  <c r="F464" i="1" s="1"/>
  <c r="F465" i="1" a="1"/>
  <c r="F465" i="1" s="1"/>
  <c r="F466" i="1" a="1"/>
  <c r="F466" i="1" s="1"/>
  <c r="F467" i="1" a="1"/>
  <c r="F467" i="1" s="1"/>
  <c r="F468" i="1" a="1"/>
  <c r="F468" i="1" s="1"/>
  <c r="F469" i="1" a="1"/>
  <c r="F469" i="1" s="1"/>
  <c r="F470" i="1" a="1"/>
  <c r="F470" i="1" s="1"/>
  <c r="F471" i="1" a="1"/>
  <c r="F471" i="1" s="1"/>
  <c r="F472" i="1" a="1"/>
  <c r="F472" i="1" s="1"/>
  <c r="F473" i="1" a="1"/>
  <c r="F473" i="1" s="1"/>
  <c r="F474" i="1" a="1"/>
  <c r="F474" i="1" s="1"/>
  <c r="F475" i="1" a="1"/>
  <c r="F475" i="1" s="1"/>
  <c r="F476" i="1" a="1"/>
  <c r="F476" i="1" s="1"/>
  <c r="F477" i="1" a="1"/>
  <c r="F477" i="1" s="1"/>
  <c r="F478" i="1" a="1"/>
  <c r="F478" i="1" s="1"/>
  <c r="F479" i="1" a="1"/>
  <c r="F479" i="1" s="1"/>
  <c r="F480" i="1" a="1"/>
  <c r="F480" i="1" s="1"/>
  <c r="F481" i="1" a="1"/>
  <c r="F481" i="1" s="1"/>
  <c r="F482" i="1" a="1"/>
  <c r="F482" i="1" s="1"/>
  <c r="F483" i="1" a="1"/>
  <c r="F483" i="1" s="1"/>
  <c r="F484" i="1" a="1"/>
  <c r="F484" i="1" s="1"/>
  <c r="F485" i="1" a="1"/>
  <c r="F485" i="1" s="1"/>
  <c r="F486" i="1" a="1"/>
  <c r="F486" i="1" s="1"/>
  <c r="F487" i="1" a="1"/>
  <c r="F487" i="1" s="1"/>
  <c r="F488" i="1" a="1"/>
  <c r="F488" i="1" s="1"/>
  <c r="F489" i="1" a="1"/>
  <c r="F489" i="1" s="1"/>
  <c r="F490" i="1" a="1"/>
  <c r="F490" i="1" s="1"/>
  <c r="F491" i="1" a="1"/>
  <c r="F491" i="1" s="1"/>
  <c r="F492" i="1" a="1"/>
  <c r="F492" i="1" s="1"/>
  <c r="F493" i="1" a="1"/>
  <c r="F493" i="1" s="1"/>
  <c r="F494" i="1" a="1"/>
  <c r="F494" i="1" s="1"/>
  <c r="F495" i="1" a="1"/>
  <c r="F495" i="1" s="1"/>
  <c r="F496" i="1" a="1"/>
  <c r="F496" i="1" s="1"/>
  <c r="F497" i="1" a="1"/>
  <c r="F497" i="1" s="1"/>
  <c r="F498" i="1" a="1"/>
  <c r="F498" i="1" s="1"/>
  <c r="F499" i="1" a="1"/>
  <c r="F499" i="1" s="1"/>
  <c r="F500" i="1" a="1"/>
  <c r="F500" i="1" s="1"/>
  <c r="F501" i="1" a="1"/>
  <c r="F501" i="1" s="1"/>
  <c r="F502" i="1" a="1"/>
  <c r="F502" i="1" s="1"/>
  <c r="F503" i="1" a="1"/>
  <c r="F503" i="1" s="1"/>
  <c r="F504" i="1" a="1"/>
  <c r="F504" i="1" s="1"/>
  <c r="F505" i="1" a="1"/>
  <c r="F505" i="1" s="1"/>
  <c r="F506" i="1" a="1"/>
  <c r="F506" i="1" s="1"/>
  <c r="F507" i="1" a="1"/>
  <c r="F507" i="1" s="1"/>
  <c r="F508" i="1" a="1"/>
  <c r="F508" i="1" s="1"/>
  <c r="F509" i="1" a="1"/>
  <c r="F509" i="1" s="1"/>
  <c r="F510" i="1" a="1"/>
  <c r="F510" i="1" s="1"/>
  <c r="F511" i="1" a="1"/>
  <c r="F511" i="1" s="1"/>
  <c r="F512" i="1" a="1"/>
  <c r="F512" i="1" s="1"/>
  <c r="F513" i="1" a="1"/>
  <c r="F513" i="1" s="1"/>
  <c r="F514" i="1" a="1"/>
  <c r="F514" i="1" s="1"/>
  <c r="F515" i="1" a="1"/>
  <c r="F515" i="1" s="1"/>
  <c r="F516" i="1" a="1"/>
  <c r="F516" i="1" s="1"/>
  <c r="F517" i="1" a="1"/>
  <c r="F517" i="1" s="1"/>
  <c r="F518" i="1" a="1"/>
  <c r="F518" i="1" s="1"/>
  <c r="F519" i="1" a="1"/>
  <c r="F519" i="1" s="1"/>
  <c r="F520" i="1" a="1"/>
  <c r="F520" i="1" s="1"/>
  <c r="F521" i="1" a="1"/>
  <c r="F521" i="1" s="1"/>
  <c r="F522" i="1" a="1"/>
  <c r="F522" i="1" s="1"/>
  <c r="F523" i="1" a="1"/>
  <c r="F523" i="1" s="1"/>
  <c r="F524" i="1" a="1"/>
  <c r="F524" i="1" s="1"/>
  <c r="F525" i="1" a="1"/>
  <c r="F525" i="1" s="1"/>
  <c r="F526" i="1" a="1"/>
  <c r="F526" i="1" s="1"/>
  <c r="F527" i="1" a="1"/>
  <c r="F527" i="1" s="1"/>
  <c r="F528" i="1" a="1"/>
  <c r="F528" i="1" s="1"/>
  <c r="F529" i="1" a="1"/>
  <c r="F529" i="1" s="1"/>
  <c r="F530" i="1" a="1"/>
  <c r="F530" i="1" s="1"/>
  <c r="F531" i="1" a="1"/>
  <c r="F531" i="1" s="1"/>
  <c r="F532" i="1" a="1"/>
  <c r="F532" i="1" s="1"/>
  <c r="F533" i="1" a="1"/>
  <c r="F533" i="1" s="1"/>
  <c r="F534" i="1" a="1"/>
  <c r="F534" i="1" s="1"/>
  <c r="F535" i="1" a="1"/>
  <c r="F535" i="1" s="1"/>
  <c r="F536" i="1" a="1"/>
  <c r="F536" i="1" s="1"/>
  <c r="F537" i="1" a="1"/>
  <c r="F537" i="1" s="1"/>
  <c r="F538" i="1" a="1"/>
  <c r="F538" i="1" s="1"/>
  <c r="F539" i="1" a="1"/>
  <c r="F539" i="1" s="1"/>
  <c r="F540" i="1" a="1"/>
  <c r="F540" i="1" s="1"/>
  <c r="F541" i="1" a="1"/>
  <c r="F541" i="1" s="1"/>
  <c r="F542" i="1" a="1"/>
  <c r="F542" i="1" s="1"/>
  <c r="F543" i="1" a="1"/>
  <c r="F543" i="1" s="1"/>
  <c r="F544" i="1" a="1"/>
  <c r="F544" i="1" s="1"/>
  <c r="F545" i="1" a="1"/>
  <c r="F545" i="1" s="1"/>
  <c r="F546" i="1" a="1"/>
  <c r="F546" i="1" s="1"/>
  <c r="F547" i="1" a="1"/>
  <c r="F547" i="1" s="1"/>
  <c r="F548" i="1" a="1"/>
  <c r="F548" i="1" s="1"/>
  <c r="F549" i="1" a="1"/>
  <c r="F549" i="1" s="1"/>
  <c r="F550" i="1" a="1"/>
  <c r="F550" i="1" s="1"/>
  <c r="F551" i="1" a="1"/>
  <c r="F551" i="1" s="1"/>
  <c r="F552" i="1" a="1"/>
  <c r="F552" i="1" s="1"/>
  <c r="F553" i="1" a="1"/>
  <c r="F553" i="1" s="1"/>
  <c r="F554" i="1" a="1"/>
  <c r="F554" i="1" s="1"/>
  <c r="F555" i="1" a="1"/>
  <c r="F555" i="1" s="1"/>
  <c r="F556" i="1" a="1"/>
  <c r="F556" i="1" s="1"/>
  <c r="F557" i="1" a="1"/>
  <c r="F557" i="1" s="1"/>
  <c r="F558" i="1" a="1"/>
  <c r="F558" i="1" s="1"/>
  <c r="F559" i="1" a="1"/>
  <c r="F559" i="1" s="1"/>
  <c r="F560" i="1" a="1"/>
  <c r="F560" i="1" s="1"/>
  <c r="F561" i="1" a="1"/>
  <c r="F561" i="1" s="1"/>
  <c r="F562" i="1" a="1"/>
  <c r="F562" i="1" s="1"/>
  <c r="F563" i="1" a="1"/>
  <c r="F563" i="1" s="1"/>
  <c r="F564" i="1" a="1"/>
  <c r="F564" i="1" s="1"/>
  <c r="F565" i="1" a="1"/>
  <c r="F565" i="1" s="1"/>
  <c r="F566" i="1" a="1"/>
  <c r="F566" i="1" s="1"/>
  <c r="F567" i="1" a="1"/>
  <c r="F567" i="1" s="1"/>
  <c r="F568" i="1" a="1"/>
  <c r="F568" i="1" s="1"/>
  <c r="F569" i="1" a="1"/>
  <c r="F569" i="1" s="1"/>
  <c r="F570" i="1" a="1"/>
  <c r="F570" i="1" s="1"/>
  <c r="F571" i="1" a="1"/>
  <c r="F571" i="1" s="1"/>
  <c r="F572" i="1" a="1"/>
  <c r="F572" i="1" s="1"/>
  <c r="F573" i="1" a="1"/>
  <c r="F573" i="1" s="1"/>
  <c r="F574" i="1" a="1"/>
  <c r="F574" i="1" s="1"/>
  <c r="F575" i="1" a="1"/>
  <c r="F575" i="1" s="1"/>
  <c r="F576" i="1" a="1"/>
  <c r="F576" i="1" s="1"/>
  <c r="F577" i="1" a="1"/>
  <c r="F577" i="1" s="1"/>
  <c r="F578" i="1" a="1"/>
  <c r="F578" i="1" s="1"/>
  <c r="F579" i="1" a="1"/>
  <c r="F579" i="1" s="1"/>
  <c r="F580" i="1" a="1"/>
  <c r="F580" i="1" s="1"/>
  <c r="F581" i="1" a="1"/>
  <c r="F581" i="1" s="1"/>
  <c r="F582" i="1" a="1"/>
  <c r="F582" i="1" s="1"/>
  <c r="F583" i="1" a="1"/>
  <c r="F583" i="1" s="1"/>
  <c r="F584" i="1" a="1"/>
  <c r="F584" i="1" s="1"/>
  <c r="F585" i="1" a="1"/>
  <c r="F585" i="1" s="1"/>
  <c r="F586" i="1" a="1"/>
  <c r="F586" i="1" s="1"/>
  <c r="F587" i="1" a="1"/>
  <c r="F587" i="1" s="1"/>
  <c r="F588" i="1" a="1"/>
  <c r="F588" i="1" s="1"/>
  <c r="F589" i="1" a="1"/>
  <c r="F589" i="1" s="1"/>
  <c r="F590" i="1" a="1"/>
  <c r="F590" i="1" s="1"/>
  <c r="F591" i="1" a="1"/>
  <c r="F591" i="1" s="1"/>
  <c r="F592" i="1" a="1"/>
  <c r="F592" i="1" s="1"/>
  <c r="F593" i="1" a="1"/>
  <c r="F593" i="1" s="1"/>
  <c r="F594" i="1" a="1"/>
  <c r="F594" i="1" s="1"/>
  <c r="F595" i="1" a="1"/>
  <c r="F595" i="1" s="1"/>
  <c r="F596" i="1" a="1"/>
  <c r="F596" i="1" s="1"/>
  <c r="F597" i="1" a="1"/>
  <c r="F597" i="1" s="1"/>
  <c r="F598" i="1" a="1"/>
  <c r="F598" i="1" s="1"/>
  <c r="F599" i="1" a="1"/>
  <c r="F599" i="1" s="1"/>
  <c r="F600" i="1" a="1"/>
  <c r="F600" i="1" s="1"/>
  <c r="F601" i="1" a="1"/>
  <c r="F601" i="1" s="1"/>
  <c r="F602" i="1" a="1"/>
  <c r="F602" i="1" s="1"/>
  <c r="F603" i="1" a="1"/>
  <c r="F603" i="1" s="1"/>
  <c r="F604" i="1" a="1"/>
  <c r="F604" i="1" s="1"/>
  <c r="F605" i="1" a="1"/>
  <c r="F605" i="1" s="1"/>
  <c r="F606" i="1" a="1"/>
  <c r="F606" i="1" s="1"/>
  <c r="F607" i="1" a="1"/>
  <c r="F607" i="1" s="1"/>
  <c r="F608" i="1" a="1"/>
  <c r="F608" i="1" s="1"/>
  <c r="F609" i="1" a="1"/>
  <c r="F609" i="1" s="1"/>
  <c r="F610" i="1" a="1"/>
  <c r="F610" i="1" s="1"/>
  <c r="F611" i="1" a="1"/>
  <c r="F611" i="1" s="1"/>
  <c r="F612" i="1" a="1"/>
  <c r="F612" i="1" s="1"/>
  <c r="F613" i="1" a="1"/>
  <c r="F613" i="1" s="1"/>
  <c r="F614" i="1" a="1"/>
  <c r="F614" i="1" s="1"/>
  <c r="F615" i="1" a="1"/>
  <c r="F615" i="1" s="1"/>
  <c r="F616" i="1" a="1"/>
  <c r="F616" i="1" s="1"/>
  <c r="F617" i="1" a="1"/>
  <c r="F617" i="1" s="1"/>
  <c r="F618" i="1" a="1"/>
  <c r="F618" i="1" s="1"/>
  <c r="F619" i="1" a="1"/>
  <c r="F619" i="1" s="1"/>
  <c r="F620" i="1" a="1"/>
  <c r="F620" i="1" s="1"/>
  <c r="F621" i="1" a="1"/>
  <c r="F621" i="1" s="1"/>
  <c r="F622" i="1" a="1"/>
  <c r="F622" i="1" s="1"/>
  <c r="F623" i="1" a="1"/>
  <c r="F623" i="1" s="1"/>
  <c r="F624" i="1" a="1"/>
  <c r="F624" i="1" s="1"/>
  <c r="F625" i="1" a="1"/>
  <c r="F625" i="1" s="1"/>
  <c r="F626" i="1" a="1"/>
  <c r="F626" i="1" s="1"/>
  <c r="F627" i="1" a="1"/>
  <c r="F627" i="1" s="1"/>
  <c r="F628" i="1" a="1"/>
  <c r="F628" i="1" s="1"/>
  <c r="F629" i="1" a="1"/>
  <c r="F629" i="1" s="1"/>
  <c r="F630" i="1" a="1"/>
  <c r="F630" i="1" s="1"/>
  <c r="F631" i="1" a="1"/>
  <c r="F631" i="1" s="1"/>
  <c r="F632" i="1" a="1"/>
  <c r="F632" i="1" s="1"/>
  <c r="F633" i="1" a="1"/>
  <c r="F633" i="1" s="1"/>
  <c r="F634" i="1" a="1"/>
  <c r="F634" i="1" s="1"/>
  <c r="F635" i="1" a="1"/>
  <c r="F635" i="1" s="1"/>
  <c r="F636" i="1" a="1"/>
  <c r="F636" i="1" s="1"/>
  <c r="F637" i="1" a="1"/>
  <c r="F637" i="1" s="1"/>
  <c r="F638" i="1" a="1"/>
  <c r="F638" i="1" s="1"/>
  <c r="F639" i="1" a="1"/>
  <c r="F639" i="1" s="1"/>
  <c r="F640" i="1" a="1"/>
  <c r="F640" i="1" s="1"/>
  <c r="F641" i="1" a="1"/>
  <c r="F641" i="1" s="1"/>
  <c r="F642" i="1" a="1"/>
  <c r="F642" i="1" s="1"/>
  <c r="F643" i="1" a="1"/>
  <c r="F643" i="1" s="1"/>
  <c r="F644" i="1" a="1"/>
  <c r="F644" i="1" s="1"/>
  <c r="F645" i="1" a="1"/>
  <c r="F645" i="1" s="1"/>
  <c r="F646" i="1" a="1"/>
  <c r="F646" i="1" s="1"/>
  <c r="F647" i="1" a="1"/>
  <c r="F647" i="1" s="1"/>
  <c r="F648" i="1" a="1"/>
  <c r="F648" i="1" s="1"/>
  <c r="F649" i="1" a="1"/>
  <c r="F649" i="1" s="1"/>
  <c r="F650" i="1" a="1"/>
  <c r="F650" i="1" s="1"/>
  <c r="F651" i="1" a="1"/>
  <c r="F651" i="1" s="1"/>
  <c r="F652" i="1" a="1"/>
  <c r="F652" i="1" s="1"/>
  <c r="F653" i="1" a="1"/>
  <c r="F653" i="1" s="1"/>
  <c r="F654" i="1" a="1"/>
  <c r="F654" i="1" s="1"/>
  <c r="F655" i="1" a="1"/>
  <c r="F655" i="1" s="1"/>
  <c r="F656" i="1" a="1"/>
  <c r="F656" i="1" s="1"/>
  <c r="F657" i="1" a="1"/>
  <c r="F657" i="1" s="1"/>
  <c r="F658" i="1" a="1"/>
  <c r="F658" i="1" s="1"/>
  <c r="F659" i="1" a="1"/>
  <c r="F659" i="1" s="1"/>
  <c r="F660" i="1" a="1"/>
  <c r="F660" i="1" s="1"/>
  <c r="F661" i="1" a="1"/>
  <c r="F661" i="1" s="1"/>
  <c r="F662" i="1" a="1"/>
  <c r="F662" i="1" s="1"/>
  <c r="F663" i="1" a="1"/>
  <c r="F663" i="1" s="1"/>
  <c r="F664" i="1" a="1"/>
  <c r="F664" i="1" s="1"/>
  <c r="F665" i="1" a="1"/>
  <c r="F665" i="1" s="1"/>
  <c r="F666" i="1" a="1"/>
  <c r="F666" i="1" s="1"/>
  <c r="F667" i="1" a="1"/>
  <c r="F667" i="1" s="1"/>
  <c r="F668" i="1" a="1"/>
  <c r="F668" i="1" s="1"/>
  <c r="F669" i="1" a="1"/>
  <c r="F669" i="1" s="1"/>
  <c r="F670" i="1" a="1"/>
  <c r="F670" i="1" s="1"/>
  <c r="F671" i="1" a="1"/>
  <c r="F671" i="1" s="1"/>
  <c r="F672" i="1" a="1"/>
  <c r="F672" i="1" s="1"/>
  <c r="F673" i="1" a="1"/>
  <c r="F673" i="1" s="1"/>
  <c r="F674" i="1" a="1"/>
  <c r="F674" i="1" s="1"/>
  <c r="F675" i="1" a="1"/>
  <c r="F675" i="1" s="1"/>
  <c r="F676" i="1" a="1"/>
  <c r="F676" i="1" s="1"/>
  <c r="F677" i="1" a="1"/>
  <c r="F677" i="1" s="1"/>
  <c r="F678" i="1" a="1"/>
  <c r="F678" i="1" s="1"/>
  <c r="F679" i="1" a="1"/>
  <c r="F679" i="1" s="1"/>
  <c r="F680" i="1" a="1"/>
  <c r="F680" i="1" s="1"/>
  <c r="F681" i="1" a="1"/>
  <c r="F681" i="1" s="1"/>
  <c r="F682" i="1" a="1"/>
  <c r="F682" i="1" s="1"/>
  <c r="F683" i="1" a="1"/>
  <c r="F683" i="1" s="1"/>
  <c r="F684" i="1" a="1"/>
  <c r="F684" i="1" s="1"/>
  <c r="F685" i="1" a="1"/>
  <c r="F685" i="1" s="1"/>
  <c r="F686" i="1" a="1"/>
  <c r="F686" i="1" s="1"/>
  <c r="F687" i="1" a="1"/>
  <c r="F687" i="1" s="1"/>
  <c r="F688" i="1" a="1"/>
  <c r="F688" i="1" s="1"/>
  <c r="F689" i="1" a="1"/>
  <c r="F689" i="1" s="1"/>
  <c r="F690" i="1" a="1"/>
  <c r="F690" i="1" s="1"/>
  <c r="F691" i="1" a="1"/>
  <c r="F691" i="1" s="1"/>
  <c r="F692" i="1" a="1"/>
  <c r="F692" i="1" s="1"/>
  <c r="F693" i="1" a="1"/>
  <c r="F693" i="1" s="1"/>
  <c r="F694" i="1" a="1"/>
  <c r="F694" i="1" s="1"/>
  <c r="F695" i="1" a="1"/>
  <c r="F695" i="1" s="1"/>
  <c r="F696" i="1" a="1"/>
  <c r="F696" i="1" s="1"/>
  <c r="F697" i="1" a="1"/>
  <c r="F697" i="1" s="1"/>
  <c r="F698" i="1" a="1"/>
  <c r="F698" i="1" s="1"/>
  <c r="F699" i="1" a="1"/>
  <c r="F699" i="1" s="1"/>
  <c r="F700" i="1" a="1"/>
  <c r="F700" i="1" s="1"/>
  <c r="F701" i="1" a="1"/>
  <c r="F701" i="1" s="1"/>
  <c r="F702" i="1" a="1"/>
  <c r="F702" i="1" s="1"/>
  <c r="F703" i="1" a="1"/>
  <c r="F703" i="1" s="1"/>
  <c r="F704" i="1" a="1"/>
  <c r="F704" i="1" s="1"/>
  <c r="F705" i="1" a="1"/>
  <c r="F705" i="1" s="1"/>
  <c r="F706" i="1" a="1"/>
  <c r="F706" i="1" s="1"/>
  <c r="F707" i="1" a="1"/>
  <c r="F707" i="1" s="1"/>
  <c r="F708" i="1" a="1"/>
  <c r="F708" i="1" s="1"/>
  <c r="F709" i="1" a="1"/>
  <c r="F709" i="1" s="1"/>
  <c r="F710" i="1" a="1"/>
  <c r="F710" i="1" s="1"/>
  <c r="F711" i="1" a="1"/>
  <c r="F711" i="1" s="1"/>
  <c r="F712" i="1" a="1"/>
  <c r="F712" i="1" s="1"/>
  <c r="F713" i="1" a="1"/>
  <c r="F713" i="1" s="1"/>
  <c r="F714" i="1" a="1"/>
  <c r="F714" i="1" s="1"/>
  <c r="F715" i="1" a="1"/>
  <c r="F715" i="1" s="1"/>
  <c r="F716" i="1" a="1"/>
  <c r="F716" i="1" s="1"/>
  <c r="F717" i="1" a="1"/>
  <c r="F717" i="1" s="1"/>
  <c r="F718" i="1" a="1"/>
  <c r="F718" i="1" s="1"/>
  <c r="F719" i="1" a="1"/>
  <c r="F719" i="1" s="1"/>
  <c r="F720" i="1" a="1"/>
  <c r="F720" i="1" s="1"/>
  <c r="F721" i="1" a="1"/>
  <c r="F721" i="1" s="1"/>
  <c r="F722" i="1" a="1"/>
  <c r="F722" i="1" s="1"/>
  <c r="F723" i="1" a="1"/>
  <c r="F723" i="1" s="1"/>
  <c r="F724" i="1" a="1"/>
  <c r="F724" i="1" s="1"/>
  <c r="F725" i="1" a="1"/>
  <c r="F725" i="1" s="1"/>
  <c r="F726" i="1" a="1"/>
  <c r="F726" i="1" s="1"/>
  <c r="F727" i="1" a="1"/>
  <c r="F727" i="1" s="1"/>
  <c r="F728" i="1" a="1"/>
  <c r="F728" i="1" s="1"/>
  <c r="F729" i="1" a="1"/>
  <c r="F729" i="1" s="1"/>
  <c r="F730" i="1" a="1"/>
  <c r="F730" i="1" s="1"/>
  <c r="F731" i="1" a="1"/>
  <c r="F731" i="1" s="1"/>
  <c r="F732" i="1" a="1"/>
  <c r="F732" i="1" s="1"/>
  <c r="F733" i="1" a="1"/>
  <c r="F733" i="1" s="1"/>
  <c r="F734" i="1" a="1"/>
  <c r="F734" i="1" s="1"/>
  <c r="F735" i="1" a="1"/>
  <c r="F735" i="1" s="1"/>
  <c r="F736" i="1" a="1"/>
  <c r="F736" i="1" s="1"/>
  <c r="F737" i="1" a="1"/>
  <c r="F737" i="1" s="1"/>
  <c r="F738" i="1" a="1"/>
  <c r="F738" i="1" s="1"/>
  <c r="F739" i="1" a="1"/>
  <c r="F739" i="1" s="1"/>
  <c r="F740" i="1" a="1"/>
  <c r="F740" i="1" s="1"/>
  <c r="F741" i="1" a="1"/>
  <c r="F741" i="1" s="1"/>
  <c r="F742" i="1" a="1"/>
  <c r="F742" i="1" s="1"/>
  <c r="F743" i="1" a="1"/>
  <c r="F743" i="1" s="1"/>
  <c r="F744" i="1" a="1"/>
  <c r="F744" i="1" s="1"/>
  <c r="F745" i="1" a="1"/>
  <c r="F745" i="1" s="1"/>
  <c r="F746" i="1" a="1"/>
  <c r="F746" i="1" s="1"/>
  <c r="F747" i="1" a="1"/>
  <c r="F747" i="1" s="1"/>
  <c r="F748" i="1" a="1"/>
  <c r="F748" i="1" s="1"/>
  <c r="F749" i="1" a="1"/>
  <c r="F749" i="1" s="1"/>
  <c r="F750" i="1" a="1"/>
  <c r="F750" i="1" s="1"/>
  <c r="F751" i="1" a="1"/>
  <c r="F751" i="1" s="1"/>
  <c r="F752" i="1" a="1"/>
  <c r="F752" i="1" s="1"/>
  <c r="F753" i="1" a="1"/>
  <c r="F753" i="1" s="1"/>
  <c r="F754" i="1" a="1"/>
  <c r="F754" i="1" s="1"/>
  <c r="F755" i="1" a="1"/>
  <c r="F755" i="1" s="1"/>
  <c r="F756" i="1" a="1"/>
  <c r="F756" i="1" s="1"/>
  <c r="F757" i="1" a="1"/>
  <c r="F757" i="1" s="1"/>
  <c r="F758" i="1" a="1"/>
  <c r="F758" i="1" s="1"/>
  <c r="F759" i="1" a="1"/>
  <c r="F759" i="1" s="1"/>
  <c r="F760" i="1" a="1"/>
  <c r="F760" i="1" s="1"/>
  <c r="F761" i="1" a="1"/>
  <c r="F761" i="1" s="1"/>
  <c r="F762" i="1" a="1"/>
  <c r="F762" i="1" s="1"/>
  <c r="F763" i="1" a="1"/>
  <c r="F763" i="1" s="1"/>
  <c r="F764" i="1" a="1"/>
  <c r="F764" i="1" s="1"/>
  <c r="F765" i="1" a="1"/>
  <c r="F765" i="1" s="1"/>
  <c r="F766" i="1" a="1"/>
  <c r="F766" i="1" s="1"/>
  <c r="F767" i="1" a="1"/>
  <c r="F767" i="1" s="1"/>
  <c r="F768" i="1" a="1"/>
  <c r="F768" i="1" s="1"/>
  <c r="F769" i="1" a="1"/>
  <c r="F769" i="1" s="1"/>
  <c r="F770" i="1" a="1"/>
  <c r="F770" i="1" s="1"/>
  <c r="F771" i="1" a="1"/>
  <c r="F771" i="1" s="1"/>
  <c r="F772" i="1" a="1"/>
  <c r="F772" i="1" s="1"/>
  <c r="F773" i="1" a="1"/>
  <c r="F773" i="1" s="1"/>
  <c r="F774" i="1" a="1"/>
  <c r="F774" i="1" s="1"/>
  <c r="F775" i="1" a="1"/>
  <c r="F775" i="1" s="1"/>
  <c r="F776" i="1" a="1"/>
  <c r="F776" i="1" s="1"/>
  <c r="F777" i="1" a="1"/>
  <c r="F777" i="1" s="1"/>
  <c r="F778" i="1" a="1"/>
  <c r="F778" i="1" s="1"/>
  <c r="F779" i="1" a="1"/>
  <c r="F779" i="1" s="1"/>
  <c r="F780" i="1" a="1"/>
  <c r="F780" i="1" s="1"/>
  <c r="F781" i="1" a="1"/>
  <c r="F781" i="1" s="1"/>
  <c r="F782" i="1" a="1"/>
  <c r="F782" i="1" s="1"/>
  <c r="F783" i="1" a="1"/>
  <c r="F783" i="1" s="1"/>
  <c r="F784" i="1" a="1"/>
  <c r="F784" i="1" s="1"/>
  <c r="F785" i="1" a="1"/>
  <c r="F785" i="1" s="1"/>
  <c r="F786" i="1" a="1"/>
  <c r="F786" i="1" s="1"/>
  <c r="F787" i="1" a="1"/>
  <c r="F787" i="1" s="1"/>
  <c r="F788" i="1" a="1"/>
  <c r="F788" i="1" s="1"/>
  <c r="F789" i="1" a="1"/>
  <c r="F789" i="1" s="1"/>
  <c r="F790" i="1" a="1"/>
  <c r="F790" i="1" s="1"/>
  <c r="F791" i="1" a="1"/>
  <c r="F791" i="1" s="1"/>
  <c r="F792" i="1" a="1"/>
  <c r="F792" i="1" s="1"/>
  <c r="F793" i="1" a="1"/>
  <c r="F793" i="1" s="1"/>
  <c r="F794" i="1" a="1"/>
  <c r="F794" i="1" s="1"/>
  <c r="F795" i="1" a="1"/>
  <c r="F795" i="1" s="1"/>
  <c r="F796" i="1" a="1"/>
  <c r="F796" i="1" s="1"/>
  <c r="F797" i="1" a="1"/>
  <c r="F797" i="1" s="1"/>
  <c r="F798" i="1" a="1"/>
  <c r="F798" i="1" s="1"/>
  <c r="F799" i="1" a="1"/>
  <c r="F799" i="1" s="1"/>
  <c r="F800" i="1" a="1"/>
  <c r="F800" i="1" s="1"/>
  <c r="F801" i="1" a="1"/>
  <c r="F801" i="1" s="1"/>
  <c r="F802" i="1" a="1"/>
  <c r="F802" i="1" s="1"/>
  <c r="F803" i="1" a="1"/>
  <c r="F803" i="1" s="1"/>
  <c r="F804" i="1" a="1"/>
  <c r="F804" i="1" s="1"/>
  <c r="F805" i="1" a="1"/>
  <c r="F805" i="1" s="1"/>
  <c r="F806" i="1" a="1"/>
  <c r="F806" i="1" s="1"/>
  <c r="F807" i="1" a="1"/>
  <c r="F807" i="1" s="1"/>
  <c r="F808" i="1" a="1"/>
  <c r="F808" i="1" s="1"/>
  <c r="F809" i="1" a="1"/>
  <c r="F809" i="1" s="1"/>
  <c r="F810" i="1" a="1"/>
  <c r="F810" i="1" s="1"/>
  <c r="F811" i="1" a="1"/>
  <c r="F811" i="1" s="1"/>
  <c r="F812" i="1" a="1"/>
  <c r="F812" i="1" s="1"/>
  <c r="F813" i="1" a="1"/>
  <c r="F813" i="1" s="1"/>
  <c r="F814" i="1" a="1"/>
  <c r="F814" i="1" s="1"/>
  <c r="F815" i="1" a="1"/>
  <c r="F815" i="1" s="1"/>
  <c r="F816" i="1" a="1"/>
  <c r="F816" i="1" s="1"/>
  <c r="F817" i="1" a="1"/>
  <c r="F817" i="1" s="1"/>
  <c r="F818" i="1" a="1"/>
  <c r="F818" i="1" s="1"/>
  <c r="F819" i="1" a="1"/>
  <c r="F819" i="1" s="1"/>
  <c r="F820" i="1" a="1"/>
  <c r="F820" i="1" s="1"/>
  <c r="F821" i="1" a="1"/>
  <c r="F821" i="1" s="1"/>
  <c r="F822" i="1" a="1"/>
  <c r="F822" i="1" s="1"/>
  <c r="F823" i="1" a="1"/>
  <c r="F823" i="1" s="1"/>
  <c r="F824" i="1" a="1"/>
  <c r="F824" i="1" s="1"/>
  <c r="F825" i="1" a="1"/>
  <c r="F825" i="1" s="1"/>
  <c r="F826" i="1" a="1"/>
  <c r="F826" i="1" s="1"/>
  <c r="F827" i="1" a="1"/>
  <c r="F827" i="1" s="1"/>
  <c r="F828" i="1" a="1"/>
  <c r="F828" i="1" s="1"/>
  <c r="G5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<sst xmlns="http://schemas.openxmlformats.org/spreadsheetml/2006/main" count="1674" uniqueCount="1264">
  <si>
    <t>TX-00526</t>
  </si>
  <si>
    <t>WAREHOUSE RENT</t>
  </si>
  <si>
    <t>TX-00681</t>
  </si>
  <si>
    <t>SUPPLIER PAYMENT GULF DAIRY</t>
  </si>
  <si>
    <t>TX-00655</t>
  </si>
  <si>
    <t>TX-00729</t>
  </si>
  <si>
    <t>TX-00590</t>
  </si>
  <si>
    <t>SUPPLIER PAYMENT AL SAFWA TRADING</t>
  </si>
  <si>
    <t>TX-00573</t>
  </si>
  <si>
    <t>TX-00606</t>
  </si>
  <si>
    <t>FUEL AND LOGISTICS</t>
  </si>
  <si>
    <t>TX-00562</t>
  </si>
  <si>
    <t>CASH DEPOSIT</t>
  </si>
  <si>
    <t>TX-00810</t>
  </si>
  <si>
    <t>TX-00724</t>
  </si>
  <si>
    <t>TX-00745</t>
  </si>
  <si>
    <t>TX-00044</t>
  </si>
  <si>
    <t>TRANSFER FROM AL KHALIJ SWEETS REF INV-1020</t>
  </si>
  <si>
    <t>TX-00682</t>
  </si>
  <si>
    <t>TX-00638</t>
  </si>
  <si>
    <t>TX-00688</t>
  </si>
  <si>
    <t>TX-00527</t>
  </si>
  <si>
    <t>PAYROLL</t>
  </si>
  <si>
    <t>TX-00528</t>
  </si>
  <si>
    <t>EXISTING LOAN INSTALMENT</t>
  </si>
  <si>
    <t>TX-00797</t>
  </si>
  <si>
    <t>TX-00571</t>
  </si>
  <si>
    <t>TX-00700</t>
  </si>
  <si>
    <t>TX-00100</t>
  </si>
  <si>
    <t>TRANSFER FROM CORNICHE CAFE GROUP REF INV-1005</t>
  </si>
  <si>
    <t>TX-00734</t>
  </si>
  <si>
    <t>TX-00738</t>
  </si>
  <si>
    <t>TX-00760</t>
  </si>
  <si>
    <t>TX-00138</t>
  </si>
  <si>
    <t>TRANSFER FROM CORNICHE CAFÃ‰ GROUP REF INV-1001</t>
  </si>
  <si>
    <t>TX-00083</t>
  </si>
  <si>
    <t>TRANSFER FROM BLUE WAVE CAFE</t>
  </si>
  <si>
    <t>TX-00634</t>
  </si>
  <si>
    <t>TX-00743</t>
  </si>
  <si>
    <t>TX-00795</t>
  </si>
  <si>
    <t>TX-00529</t>
  </si>
  <si>
    <t>TX-00342</t>
  </si>
  <si>
    <t>TRANSFER FROM PALM GRILL RESTAURANTS REF INV-1018</t>
  </si>
  <si>
    <t>TX-00458</t>
  </si>
  <si>
    <t>TRANSFER FROM TAHLIA BITES REF INV-1009</t>
  </si>
  <si>
    <t>TX-00059</t>
  </si>
  <si>
    <t>TRANSFER FROM ALSAFA MINIMARKET REF INV-1007</t>
  </si>
  <si>
    <t>TX-00084</t>
  </si>
  <si>
    <t>TRANSFER FROM BLUE WAVE CAFE REF INV-1053</t>
  </si>
  <si>
    <t>TX-00101</t>
  </si>
  <si>
    <t>TRANSFER FROM CORNICHE CAFE GROUP REF INV-1014</t>
  </si>
  <si>
    <t>TX-00583</t>
  </si>
  <si>
    <t>TX-00576</t>
  </si>
  <si>
    <t>TX-00611</t>
  </si>
  <si>
    <t>TX-00645</t>
  </si>
  <si>
    <t>TX-00331</t>
  </si>
  <si>
    <t>TRANSFER FROM OASIS JUICE BAR REF INV-1041</t>
  </si>
  <si>
    <t>TX-00567</t>
  </si>
  <si>
    <t>TX-00754</t>
  </si>
  <si>
    <t>TX-00761</t>
  </si>
  <si>
    <t>TX-00685</t>
  </si>
  <si>
    <t>TX-00819</t>
  </si>
  <si>
    <t>TX-00142</t>
  </si>
  <si>
    <t>TRANSFER FROM HARBOR LIGHT CAFETERIA REF INV-1066</t>
  </si>
  <si>
    <t>TX-00447</t>
  </si>
  <si>
    <t>TRANSFER FROM SUNRISE BAKERY REF INV-1061</t>
  </si>
  <si>
    <t>TX-00640</t>
  </si>
  <si>
    <t>TX-00726</t>
  </si>
  <si>
    <t>TX-00102</t>
  </si>
  <si>
    <t>TRANSFER FROM CORNICHE CAFE GROUP REF 1013/1028</t>
  </si>
  <si>
    <t>TX-00666</t>
  </si>
  <si>
    <t>TX-00705</t>
  </si>
  <si>
    <t>TX-00805</t>
  </si>
  <si>
    <t>TX-00660</t>
  </si>
  <si>
    <t>TX-00717</t>
  </si>
  <si>
    <t>TX-00793</t>
  </si>
  <si>
    <t>TX-00060</t>
  </si>
  <si>
    <t>TRANSFER FROM ALSAFA MINIMARKET REF 1010/1017</t>
  </si>
  <si>
    <t>TX-00293</t>
  </si>
  <si>
    <t>TRANSFER FROM NAJD FAMILY STORES REF 1003/1006</t>
  </si>
  <si>
    <t>TX-00343</t>
  </si>
  <si>
    <t>TRANSFER FROM PALM GRILL RESTAURANTS REF 1023/1036/1037</t>
  </si>
  <si>
    <t>TX-00374</t>
  </si>
  <si>
    <t>TRANSFER FROM RAWABI MINI MART REF INV-1019</t>
  </si>
  <si>
    <t>TX-00448</t>
  </si>
  <si>
    <t>TRANSFER FROM SUNRISE BAKERY REF INV-1070</t>
  </si>
  <si>
    <t>TX-00673</t>
  </si>
  <si>
    <t>TX-00030</t>
  </si>
  <si>
    <t>TRANSFER FROM AL HAMRA EVENTS REF INV-1033</t>
  </si>
  <si>
    <t>TX-00332</t>
  </si>
  <si>
    <t>TRANSFER FROM OASIS JUICE BAR REF INV-1073</t>
  </si>
  <si>
    <t>TX-00275</t>
  </si>
  <si>
    <t>TRANSFER FROM MARINA DINING CO REF INV-1051</t>
  </si>
  <si>
    <t>TX-00568</t>
  </si>
  <si>
    <t>TX-00603</t>
  </si>
  <si>
    <t>TX-00577</t>
  </si>
  <si>
    <t>TX-00061</t>
  </si>
  <si>
    <t>TRANSFER FROM ALSAFA MINIMARKET</t>
  </si>
  <si>
    <t>TX-00294</t>
  </si>
  <si>
    <t>TRANSFER FROM NAJD FAMILY STORES REF 1015/1027</t>
  </si>
  <si>
    <t>TX-00735</t>
  </si>
  <si>
    <t>TX-00344</t>
  </si>
  <si>
    <t>TRANSFER FROM PALM GRILL RESTAURANTS REF INV-1057</t>
  </si>
  <si>
    <t>TX-00677</t>
  </si>
  <si>
    <t>TX-00521</t>
  </si>
  <si>
    <t>TRANSFER FROM UNKNOWN SENDER 4471</t>
  </si>
  <si>
    <t>TX-00747</t>
  </si>
  <si>
    <t>TX-00103</t>
  </si>
  <si>
    <t>TRANSFER FROM CORNICHE CAFE GROUP REF 1058/1067</t>
  </si>
  <si>
    <t>TX-00276</t>
  </si>
  <si>
    <t>TRANSFER FROM MARINA DINING CO</t>
  </si>
  <si>
    <t>TX-00386</t>
  </si>
  <si>
    <t>TRANSFER FROM RED SEA FRESH MART</t>
  </si>
  <si>
    <t>TX-00530</t>
  </si>
  <si>
    <t>TX-00531</t>
  </si>
  <si>
    <t>TX-00675</t>
  </si>
  <si>
    <t>TX-00725</t>
  </si>
  <si>
    <t>TX-00481</t>
  </si>
  <si>
    <t>TRANSFER FROM TAIF ROAD MART REF INV-1045</t>
  </si>
  <si>
    <t>TX-00784</t>
  </si>
  <si>
    <t>TX-00045</t>
  </si>
  <si>
    <t>TRANSFER FROM AL KHALIJ SWEETS REF INV-1102</t>
  </si>
  <si>
    <t>TX-00388</t>
  </si>
  <si>
    <t>TRANSFER FROM RED SEA FRESH MART REF INV-1031</t>
  </si>
  <si>
    <t>TX-00780</t>
  </si>
  <si>
    <t>TX-00031</t>
  </si>
  <si>
    <t>TRANSFER FROM AL HAMRA EVENTS REF INV-1134</t>
  </si>
  <si>
    <t>TX-00258</t>
  </si>
  <si>
    <t>TRANSFER FROM MADINAH ROAD GROCERS REF 1034/1063</t>
  </si>
  <si>
    <t>TX-00482</t>
  </si>
  <si>
    <t>TRANSFER FROM TAIF ROAD MART REF INV-1064</t>
  </si>
  <si>
    <t>TX-00779</t>
  </si>
  <si>
    <t>TX-00143</t>
  </si>
  <si>
    <t>TRANSFER FROM HARBOR LIGHT CAFETERIA</t>
  </si>
  <si>
    <t>TX-00223</t>
  </si>
  <si>
    <t>TRANSFER FROM HYPERBASKET MARKET REF INV-1012</t>
  </si>
  <si>
    <t>TX-00387</t>
  </si>
  <si>
    <t>TX-00532</t>
  </si>
  <si>
    <t>TX-00733</t>
  </si>
  <si>
    <t>TX-00104</t>
  </si>
  <si>
    <t>TRANSFER FROM CORNICHE CAFE GROUP</t>
  </si>
  <si>
    <t>TX-00295</t>
  </si>
  <si>
    <t>TRANSFER FROM NAJD FAMILY STORES REF INV-1029</t>
  </si>
  <si>
    <t>TX-00613</t>
  </si>
  <si>
    <t>TX-00152</t>
  </si>
  <si>
    <t>TRANSFER FROM HYPER BASKET MARKETS REF 1016/1022</t>
  </si>
  <si>
    <t>TX-00389</t>
  </si>
  <si>
    <t>TRANSFER FROM RED SEA FRESH MART REF INV-1039</t>
  </si>
  <si>
    <t>TX-00503</t>
  </si>
  <si>
    <t>TRANSFER FROM ZAHRA SUPERSTORE REF INV-1043</t>
  </si>
  <si>
    <t>TX-00757</t>
  </si>
  <si>
    <t>TX-00578</t>
  </si>
  <si>
    <t>TX-00105</t>
  </si>
  <si>
    <t>TRANSFER FROM CORNICHE CAFE GROUP REF INV-1088</t>
  </si>
  <si>
    <t>TX-00333</t>
  </si>
  <si>
    <t>TRANSFER FROM OASIS JUICE BAR REF 1098/1119</t>
  </si>
  <si>
    <t>TX-00449</t>
  </si>
  <si>
    <t>TRANSFER FROM SUNRISE BAKERY REF INV-1122</t>
  </si>
  <si>
    <t>TX-00766</t>
  </si>
  <si>
    <t>TX-00227</t>
  </si>
  <si>
    <t>TRANSFER FROM JEDDAH HOTEL SUPPLIES REF 1011/1024</t>
  </si>
  <si>
    <t>TX-00296</t>
  </si>
  <si>
    <t>TRANSFER FROM NAJD FAMILY STORES REF 1035/1042</t>
  </si>
  <si>
    <t>TX-00585</t>
  </si>
  <si>
    <t>TX-00085</t>
  </si>
  <si>
    <t>TRANSFER FROM BLUE WAVE CAFE REF 1084/1106</t>
  </si>
  <si>
    <t>TX-00390</t>
  </si>
  <si>
    <t>TRANSFER FROM RED SEA FRESH MART REF 1047/1060</t>
  </si>
  <si>
    <t>TX-00765</t>
  </si>
  <si>
    <t>TX-00812</t>
  </si>
  <si>
    <t>TX-00046</t>
  </si>
  <si>
    <t>TRANSFER FROM AL KHALIJ SWEETS</t>
  </si>
  <si>
    <t>TX-00564</t>
  </si>
  <si>
    <t>TX-00483</t>
  </si>
  <si>
    <t>TRANSFER FROM TAIF ROAD MART REF INV-1069</t>
  </si>
  <si>
    <t>TX-00048</t>
  </si>
  <si>
    <t>TX-00297</t>
  </si>
  <si>
    <t>TRANSFER FROM NAJD FAMILY STORES REF INV-1062</t>
  </si>
  <si>
    <t>TX-00594</t>
  </si>
  <si>
    <t>TX-00106</t>
  </si>
  <si>
    <t>TRANSFER FROM CORNICHE CAFE GROUP REF INV-1090</t>
  </si>
  <si>
    <t>TX-00375</t>
  </si>
  <si>
    <t>TRANSFER FROM RAWABI MINI MART REF INV-1080</t>
  </si>
  <si>
    <t>TX-00713</t>
  </si>
  <si>
    <t>TX-00047</t>
  </si>
  <si>
    <t>TX-00345</t>
  </si>
  <si>
    <t>TRANSFER FROM PALM GRILL RESTAURANTS</t>
  </si>
  <si>
    <t>TX-00484</t>
  </si>
  <si>
    <t>TRANSFER FROM TAIF ROAD MART</t>
  </si>
  <si>
    <t>TX-00459</t>
  </si>
  <si>
    <t>TRANSFER FROM TAHLIA BITES</t>
  </si>
  <si>
    <t>TX-00001</t>
  </si>
  <si>
    <t>TRANSFER FROM AL BARAKA CATERING REF INV-1104</t>
  </si>
  <si>
    <t>TX-00770</t>
  </si>
  <si>
    <t>TX-00032</t>
  </si>
  <si>
    <t>TRANSFER FROM AL HAMRA EVENTS</t>
  </si>
  <si>
    <t>TX-00049</t>
  </si>
  <si>
    <t>TRANSFER FROM AL KHALIJ SWEETS REF INV-1145</t>
  </si>
  <si>
    <t>TX-00504</t>
  </si>
  <si>
    <t>TRANSFER FROM ZAHRA SUPERSTORE REF INV-1071</t>
  </si>
  <si>
    <t>TX-00522</t>
  </si>
  <si>
    <t>TX-00714</t>
  </si>
  <si>
    <t>TX-00277</t>
  </si>
  <si>
    <t>TRANSFER FROM MARINA DINING CO REF INV-1097</t>
  </si>
  <si>
    <t>TX-00505</t>
  </si>
  <si>
    <t>TRANSFER FROM ZAHRA SUPERSTORE REF 1054/1078</t>
  </si>
  <si>
    <t>TX-00153</t>
  </si>
  <si>
    <t>TRANSFER FROM HYPER BASKET MARKETS</t>
  </si>
  <si>
    <t>TX-00450</t>
  </si>
  <si>
    <t>TRANSFER FROM SUNRISE BAKERY REF INV-1147</t>
  </si>
  <si>
    <t>TX-00792</t>
  </si>
  <si>
    <t>TX-00002</t>
  </si>
  <si>
    <t>TRANSFER FROM AL BARAKA CATERING REF INV-1096</t>
  </si>
  <si>
    <t>TX-00347</t>
  </si>
  <si>
    <t>TRANSFER FROM PALM GRILL RESTAURANTS REF INV-1113</t>
  </si>
  <si>
    <t>TX-00692</t>
  </si>
  <si>
    <t>TX-00697</t>
  </si>
  <si>
    <t>TX-00228</t>
  </si>
  <si>
    <t>TRANSFER FROM JEDDAH HOTEL SUPPLIES REF INV-1026</t>
  </si>
  <si>
    <t>TX-00579</t>
  </si>
  <si>
    <t>TX-00722</t>
  </si>
  <si>
    <t>TX-00346</t>
  </si>
  <si>
    <t>TRANSFER FROM PALM GRILL RESTAURANTS REF INV-1100</t>
  </si>
  <si>
    <t>TX-00107</t>
  </si>
  <si>
    <t>TRANSFER FROM CORNICHE CAFE GROUP REF INV-1127</t>
  </si>
  <si>
    <t>TX-00229</t>
  </si>
  <si>
    <t>TRANSFER FROM JEDDAH HOTEL SUPPLIES REF INV-1049</t>
  </si>
  <si>
    <t>TX-00533</t>
  </si>
  <si>
    <t>TX-00534</t>
  </si>
  <si>
    <t>TX-00615</t>
  </si>
  <si>
    <t>TX-00348</t>
  </si>
  <si>
    <t>TRANSFER FROM PALM GRILL RESTAURANTS REF INV-1103</t>
  </si>
  <si>
    <t>TX-00605</t>
  </si>
  <si>
    <t>TX-00686</t>
  </si>
  <si>
    <t>TX-00086</t>
  </si>
  <si>
    <t>TRANSFER FROM BLUE WAVE CAFE REF INV-1154</t>
  </si>
  <si>
    <t>TX-00224</t>
  </si>
  <si>
    <t>TRANSFER FROM HYPERBASKET MARKET</t>
  </si>
  <si>
    <t>TX-00155</t>
  </si>
  <si>
    <t>TRANSFER FROM HYPER BASKET MARKETS REF INV-1052</t>
  </si>
  <si>
    <t>TX-00156</t>
  </si>
  <si>
    <t>TRANSFER FROM HYPER BASKET MARKETS REF INV-1065</t>
  </si>
  <si>
    <t>TX-00334</t>
  </si>
  <si>
    <t>TRANSFER FROM OASIS JUICE BAR</t>
  </si>
  <si>
    <t>TX-00506</t>
  </si>
  <si>
    <t>TRANSFER FROM ZAHRA SUPERSTORE REF INV-1089</t>
  </si>
  <si>
    <t>TX-00732</t>
  </si>
  <si>
    <t>TX-00804</t>
  </si>
  <si>
    <t>TX-00154</t>
  </si>
  <si>
    <t>TRANSFER FROM HYPER BASKET MARKETS REF INV-1046</t>
  </si>
  <si>
    <t>TX-00460</t>
  </si>
  <si>
    <t>TRANSFER FROM TAHLIA BITES REF 1101/1111/1118</t>
  </si>
  <si>
    <t>TX-00485</t>
  </si>
  <si>
    <t>TRANSFER FROM TAIF ROAD MART REF 1099/1125</t>
  </si>
  <si>
    <t>TX-00727</t>
  </si>
  <si>
    <t>TX-00157</t>
  </si>
  <si>
    <t>TX-00278</t>
  </si>
  <si>
    <t>TRANSFER FROM MARINA DINING CO REF INV-1124</t>
  </si>
  <si>
    <t>TX-00349</t>
  </si>
  <si>
    <t>TX-00806</t>
  </si>
  <si>
    <t>TX-00230</t>
  </si>
  <si>
    <t>TRANSFER FROM JEDDAH HOTEL SUPPLIES</t>
  </si>
  <si>
    <t>TX-00535</t>
  </si>
  <si>
    <t>TX-00563</t>
  </si>
  <si>
    <t>TX-00667</t>
  </si>
  <si>
    <t>TX-00144</t>
  </si>
  <si>
    <t>TRANSFER FROM HARBOR LIGHT CAFETERIA REF INV-1170</t>
  </si>
  <si>
    <t>TX-00298</t>
  </si>
  <si>
    <t>TRANSFER FROM NAJD FAMILY STORES REF INV-1094</t>
  </si>
  <si>
    <t>TX-00671</t>
  </si>
  <si>
    <t>TX-00709</t>
  </si>
  <si>
    <t>TX-00279</t>
  </si>
  <si>
    <t>TRANSFER FROM MARINA DINING CO REF 1133/1149/1152</t>
  </si>
  <si>
    <t>TX-00350</t>
  </si>
  <si>
    <t>TX-00003</t>
  </si>
  <si>
    <t>TRANSFER FROM AL BARAKA CATERING REF 1004/1151</t>
  </si>
  <si>
    <t>TX-00158</t>
  </si>
  <si>
    <t>TRANSFER FROM HYPER BASKET MARKETS REF INV-1076</t>
  </si>
  <si>
    <t>TX-00231</t>
  </si>
  <si>
    <t>TRANSFER FROM JEDDAH HOTEL SUPPLIES REF INV-1083</t>
  </si>
  <si>
    <t>TX-00751</t>
  </si>
  <si>
    <t>TX-00062</t>
  </si>
  <si>
    <t>TRANSFER FROM ALSAFA MINIMARKET REF 1129/1139</t>
  </si>
  <si>
    <t>TX-00391</t>
  </si>
  <si>
    <t>TX-00750</t>
  </si>
  <si>
    <t>TX-00087</t>
  </si>
  <si>
    <t>TRANSFER FROM BLUE WAVE CAFE REF INV-1179</t>
  </si>
  <si>
    <t>TX-00108</t>
  </si>
  <si>
    <t>TRANSFER FROM CORNICHE CAFE GROUP REF INV-1158</t>
  </si>
  <si>
    <t>TX-00280</t>
  </si>
  <si>
    <t>TX-00507</t>
  </si>
  <si>
    <t>TRANSFER FROM ZAHRA SUPERSTORE REF INV-1123</t>
  </si>
  <si>
    <t>TX-00159</t>
  </si>
  <si>
    <t>TRANSFER FROM HYPER BASKET MARKETS REF 1077/1081/1087</t>
  </si>
  <si>
    <t>TX-00232</t>
  </si>
  <si>
    <t>TX-00582</t>
  </si>
  <si>
    <t>TX-00063</t>
  </si>
  <si>
    <t>TRANSFER FROM ALSAFA MINIMARKET REF INV-1136</t>
  </si>
  <si>
    <t>TX-00486</t>
  </si>
  <si>
    <t>TRANSFER FROM TAIF ROAD MART REF INV-1153</t>
  </si>
  <si>
    <t>TX-00566</t>
  </si>
  <si>
    <t>TX-00771</t>
  </si>
  <si>
    <t>TX-00335</t>
  </si>
  <si>
    <t>TX-00160</t>
  </si>
  <si>
    <t>TX-00616</t>
  </si>
  <si>
    <t>TX-00814</t>
  </si>
  <si>
    <t>TX-00110</t>
  </si>
  <si>
    <t>TX-00163</t>
  </si>
  <si>
    <t>TRANSFER FROM HYPER BASKET MARKETS REF INV-1109</t>
  </si>
  <si>
    <t>TX-00508</t>
  </si>
  <si>
    <t>TRANSFER FROM ZAHRA SUPERSTORE</t>
  </si>
  <si>
    <t>TX-00161</t>
  </si>
  <si>
    <t>TX-00763</t>
  </si>
  <si>
    <t>TX-00162</t>
  </si>
  <si>
    <t>TRANSFER FROM HYPER BASKET MARKETS REF INV-1095</t>
  </si>
  <si>
    <t>TX-00259</t>
  </si>
  <si>
    <t>TRANSFER FROM MADINAH ROAD GROCERS REF INV-1166</t>
  </si>
  <si>
    <t>TX-00392</t>
  </si>
  <si>
    <t>TRANSFER FROM RED SEA FRESH MART REF 1132/1150</t>
  </si>
  <si>
    <t>TX-00701</t>
  </si>
  <si>
    <t>TX-00109</t>
  </si>
  <si>
    <t>TRANSFER FROM CORNICHE CAFE GROUP REF INV-1167</t>
  </si>
  <si>
    <t>TX-00299</t>
  </si>
  <si>
    <t>TRANSFER FROM NAJD FAMILY STORES REF INV-1120</t>
  </si>
  <si>
    <t>TX-00461</t>
  </si>
  <si>
    <t>TRANSFER FROM TAHLIA BITES REF 1160/1161/1173/1174</t>
  </si>
  <si>
    <t>TX-00695</t>
  </si>
  <si>
    <t>TX-00736</t>
  </si>
  <si>
    <t>TX-00625</t>
  </si>
  <si>
    <t>TX-00394</t>
  </si>
  <si>
    <t>TRANSFER FROM RED SEA FRESH MART REF INV-1144</t>
  </si>
  <si>
    <t>TX-00593</t>
  </si>
  <si>
    <t>TX-00260</t>
  </si>
  <si>
    <t>TRANSFER FROM MADINAH ROAD GROCERS</t>
  </si>
  <si>
    <t>TX-00462</t>
  </si>
  <si>
    <t>TX-00536</t>
  </si>
  <si>
    <t>TX-00537</t>
  </si>
  <si>
    <t>TX-00351</t>
  </si>
  <si>
    <t>TX-00393</t>
  </si>
  <si>
    <t>TX-00281</t>
  </si>
  <si>
    <t>TX-00050</t>
  </si>
  <si>
    <t>TRANSFER FROM AL KHALIJ SWEETS REF INV-1206</t>
  </si>
  <si>
    <t>TX-00487</t>
  </si>
  <si>
    <t>TX-00088</t>
  </si>
  <si>
    <t>TRANSFER FROM BLUE WAVE CAFE REF 1203/1213</t>
  </si>
  <si>
    <t>TX-00164</t>
  </si>
  <si>
    <t>TRANSFER FROM HYPER BASKET MARKETS REF 1110/1112/1121/1131</t>
  </si>
  <si>
    <t>TX-00233</t>
  </si>
  <si>
    <t>TRANSFER FROM JEDDAH HOTEL SUPPLIES REF INV-1114</t>
  </si>
  <si>
    <t>TX-00746</t>
  </si>
  <si>
    <t>TX-00756</t>
  </si>
  <si>
    <t>TX-00165</t>
  </si>
  <si>
    <t>TRANSFER FROM HYPER BASKET MARKETS REF INV-1148</t>
  </si>
  <si>
    <t>TX-00538</t>
  </si>
  <si>
    <t>TX-00642</t>
  </si>
  <si>
    <t>TX-00661</t>
  </si>
  <si>
    <t>TX-00781</t>
  </si>
  <si>
    <t>TX-00694</t>
  </si>
  <si>
    <t>TX-00282</t>
  </si>
  <si>
    <t>TRANSFER FROM MARINA DINING CO REF INV-1192</t>
  </si>
  <si>
    <t>TX-00463</t>
  </si>
  <si>
    <t>TRANSFER FROM TAHLIA BITES REF INV-1194</t>
  </si>
  <si>
    <t>TX-00488</t>
  </si>
  <si>
    <t>TX-00089</t>
  </si>
  <si>
    <t>TRANSFER FROM BLUE WAVE CAFE REF INV-1228</t>
  </si>
  <si>
    <t>TX-00234</t>
  </si>
  <si>
    <t>TRANSFER FROM JEDDAH HOTEL SUPPLIES REF INV-1157</t>
  </si>
  <si>
    <t>TX-00662</t>
  </si>
  <si>
    <t>TX-00584</t>
  </si>
  <si>
    <t>TX-00166</t>
  </si>
  <si>
    <t>TX-00235</t>
  </si>
  <si>
    <t>TRANSFER FROM JEDDAH HOTEL SUPPLIES REF INV-1165</t>
  </si>
  <si>
    <t>TX-00395</t>
  </si>
  <si>
    <t>TRANSFER FROM RED SEA FRESH MART REF 1040/1191</t>
  </si>
  <si>
    <t>TX-00376</t>
  </si>
  <si>
    <t>TRANSFER FROM RAWABI MINI MART REF INV-1116</t>
  </si>
  <si>
    <t>TX-00753</t>
  </si>
  <si>
    <t>TX-00352</t>
  </si>
  <si>
    <t>TRANSFER FROM PALM GRILL RESTAURANTS REF INV-1205</t>
  </si>
  <si>
    <t>TX-00628</t>
  </si>
  <si>
    <t>TX-00720</t>
  </si>
  <si>
    <t>TX-00064</t>
  </si>
  <si>
    <t>TRANSFER FROM ALSAFA MINIMARKET REF INV-1186</t>
  </si>
  <si>
    <t>TX-00464</t>
  </si>
  <si>
    <t>TRANSFER FROM TAHLIA BITES REF INV-1211</t>
  </si>
  <si>
    <t>TX-00090</t>
  </si>
  <si>
    <t>TRANSFER FROM BLUE WAVE CAFE REF INV-1056</t>
  </si>
  <si>
    <t>TX-00236</t>
  </si>
  <si>
    <t>TX-00300</t>
  </si>
  <si>
    <t>TRANSFER FROM NAJD FAMILY STORES REF INV-1169</t>
  </si>
  <si>
    <t>TX-00301</t>
  </si>
  <si>
    <t>TRANSFER FROM NAJD FAMILY STORES</t>
  </si>
  <si>
    <t>TX-00377</t>
  </si>
  <si>
    <t>TRANSFER FROM RAWABI MINI MART REF INV-1198</t>
  </si>
  <si>
    <t>TX-00509</t>
  </si>
  <si>
    <t>TX-00683</t>
  </si>
  <si>
    <t>TX-00167</t>
  </si>
  <si>
    <t>TRANSFER FROM HYPER BASKET MARKETS REF INV-1162</t>
  </si>
  <si>
    <t>TX-00302</t>
  </si>
  <si>
    <t>TRANSFER FROM NAJD FAMILY STORES REF INV-1178</t>
  </si>
  <si>
    <t>TX-00353</t>
  </si>
  <si>
    <t>TRANSFER FROM PALM GRILL RESTAURANTS REF INV-1202</t>
  </si>
  <si>
    <t>TX-00111</t>
  </si>
  <si>
    <t>TRANSFER FROM CORNICHE CAFE GROUP REF 1208/1219/1224</t>
  </si>
  <si>
    <t>TX-00631</t>
  </si>
  <si>
    <t>TX-00303</t>
  </si>
  <si>
    <t>TX-00465</t>
  </si>
  <si>
    <t>TX-00653</t>
  </si>
  <si>
    <t>TX-00711</t>
  </si>
  <si>
    <t>TX-00112</t>
  </si>
  <si>
    <t>TRANSFER FROM CORNICHE CAFE GROUP REF 1233/1240</t>
  </si>
  <si>
    <t>TX-00169</t>
  </si>
  <si>
    <t>TX-00764</t>
  </si>
  <si>
    <t>TX-00168</t>
  </si>
  <si>
    <t>TRANSFER FROM HYPER BASKET MARKETS REF INV-1168</t>
  </si>
  <si>
    <t>TX-00065</t>
  </si>
  <si>
    <t>TRANSFER FROM ALSAFA MINIMARKET REF 1163/1218</t>
  </si>
  <si>
    <t>TX-00283</t>
  </si>
  <si>
    <t>TRANSFER FROM MARINA DINING CO REF INV-1235</t>
  </si>
  <si>
    <t>TX-00336</t>
  </si>
  <si>
    <t>TRANSFER FROM OASIS JUICE BAR REF 1243/1247/1272</t>
  </si>
  <si>
    <t>TX-00237</t>
  </si>
  <si>
    <t>TRANSFER FROM JEDDAH HOTEL SUPPLIES REF INV-1190</t>
  </si>
  <si>
    <t>TX-00304</t>
  </si>
  <si>
    <t>TRANSFER FROM NAJD FAMILY STORES REF INV-1204</t>
  </si>
  <si>
    <t>TX-00539</t>
  </si>
  <si>
    <t>TX-00540</t>
  </si>
  <si>
    <t>TX-00704</t>
  </si>
  <si>
    <t>TX-00305</t>
  </si>
  <si>
    <t>TRANSFER FROM NAJD FAMILY STORES REF INV-1214</t>
  </si>
  <si>
    <t>TX-00600</t>
  </si>
  <si>
    <t>TX-00170</t>
  </si>
  <si>
    <t>TX-00466</t>
  </si>
  <si>
    <t>TRANSFER FROM TAHLIA BITES REF INV-1248</t>
  </si>
  <si>
    <t>TX-00396</t>
  </si>
  <si>
    <t>TRANSFER FROM RED SEA FRESH MART REF 1201/1212</t>
  </si>
  <si>
    <t>TX-00541</t>
  </si>
  <si>
    <t>TX-00633</t>
  </si>
  <si>
    <t>TX-00261</t>
  </si>
  <si>
    <t>TRANSFER FROM MADINAH ROAD GROCERS REF INV-1086</t>
  </si>
  <si>
    <t>TX-00595</t>
  </si>
  <si>
    <t>TX-00665</t>
  </si>
  <si>
    <t>TX-00510</t>
  </si>
  <si>
    <t>TX-00740</t>
  </si>
  <si>
    <t>TX-00113</t>
  </si>
  <si>
    <t>TRANSFER FROM CORNICHE CAFE GROUP REF 1253/1254</t>
  </si>
  <si>
    <t>TX-00378</t>
  </si>
  <si>
    <t>TRANSFER FROM RAWABI MINI MART REF INV-1237</t>
  </si>
  <si>
    <t>TX-00489</t>
  </si>
  <si>
    <t>TRANSFER FROM TAIF ROAD MART REF INV-1249</t>
  </si>
  <si>
    <t>TX-00570</t>
  </si>
  <si>
    <t>TX-00306</t>
  </si>
  <si>
    <t>TRANSFER FROM NAJD FAMILY STORES REF INV-1220</t>
  </si>
  <si>
    <t>TX-00033</t>
  </si>
  <si>
    <t>TRANSFER FROM AL HAMRA EVENTS REF INV-1255</t>
  </si>
  <si>
    <t>TX-00066</t>
  </si>
  <si>
    <t>TRANSFER FROM ALSAFA MINIMARKET REF INV-1244</t>
  </si>
  <si>
    <t>TX-00379</t>
  </si>
  <si>
    <t>TRANSFER FROM RAWABI MINI MART REF INV-1232</t>
  </si>
  <si>
    <t>TX-00580</t>
  </si>
  <si>
    <t>TX-00262</t>
  </si>
  <si>
    <t>TX-00768</t>
  </si>
  <si>
    <t>TX-00803</t>
  </si>
  <si>
    <t>TX-00145</t>
  </si>
  <si>
    <t>TRANSFER FROM HARBOR LIGHT CAFETERIA REF INV-1308</t>
  </si>
  <si>
    <t>TX-00778</t>
  </si>
  <si>
    <t>TX-00172</t>
  </si>
  <si>
    <t>TRANSFER FROM HYPER BASKET MARKETS REF INV-1209</t>
  </si>
  <si>
    <t>TX-00225</t>
  </si>
  <si>
    <t>TX-00451</t>
  </si>
  <si>
    <t>TRANSFER FROM SUNRISE BAKERY REF INV-1307</t>
  </si>
  <si>
    <t>TX-00702</t>
  </si>
  <si>
    <t>TX-00171</t>
  </si>
  <si>
    <t>TRANSFER FROM HYPER BASKET MARKETS REF INV-1193</t>
  </si>
  <si>
    <t>TX-00238</t>
  </si>
  <si>
    <t>TRANSFER FROM JEDDAH HOTEL SUPPLIES REF INV-1215</t>
  </si>
  <si>
    <t>TX-00004</t>
  </si>
  <si>
    <t>TRANSFER FROM AL BARAKA CATERING REF 1263/1268/1280</t>
  </si>
  <si>
    <t>TX-00397</t>
  </si>
  <si>
    <t>TX-00468</t>
  </si>
  <si>
    <t>TRANSFER FROM TAHLIA BITES REF INV-1278</t>
  </si>
  <si>
    <t>TX-00647</t>
  </si>
  <si>
    <t>TX-00005</t>
  </si>
  <si>
    <t>TRANSFER FROM AL BARAKA CATERING REF INV-1266</t>
  </si>
  <si>
    <t>TX-00467</t>
  </si>
  <si>
    <t>TX-00307</t>
  </si>
  <si>
    <t>TRANSFER FROM NAJD FAMILY STORES REF 1241/1246</t>
  </si>
  <si>
    <t>TX-00742</t>
  </si>
  <si>
    <t>TX-00034</t>
  </si>
  <si>
    <t>TRANSFER FROM AL HAMRA EVENTS REF INV-1264</t>
  </si>
  <si>
    <t>TX-00173</t>
  </si>
  <si>
    <t>TRANSFER FROM HYPER BASKET MARKETS REF INV-1210</t>
  </si>
  <si>
    <t>TX-00469</t>
  </si>
  <si>
    <t>TRANSFER FROM TAHLIA BITES REF INV-1289</t>
  </si>
  <si>
    <t>TX-00798</t>
  </si>
  <si>
    <t>TX-00398</t>
  </si>
  <si>
    <t>TRANSFER FROM RED SEA FRESH MART REF 1245/1252</t>
  </si>
  <si>
    <t>TX-00668</t>
  </si>
  <si>
    <t>TX-00791</t>
  </si>
  <si>
    <t>TX-00006</t>
  </si>
  <si>
    <t>TRANSFER FROM AL BARAKA CATERING REF INV-1276</t>
  </si>
  <si>
    <t>TX-00114</t>
  </si>
  <si>
    <t>TRANSFER FROM CORNICHE CAFE GROUP REF INV-1288</t>
  </si>
  <si>
    <t>TX-00399</t>
  </si>
  <si>
    <t>TRANSFER FROM RED SEA FRESH MART REF INV-1261</t>
  </si>
  <si>
    <t>TX-00263</t>
  </si>
  <si>
    <t>TRANSFER FROM MADINAH ROAD GROCERS REF INV-1301</t>
  </si>
  <si>
    <t>TX-00490</t>
  </si>
  <si>
    <t>TRANSFER FROM TAIF ROAD MART REF INV-1271</t>
  </si>
  <si>
    <t>TX-00710</t>
  </si>
  <si>
    <t>TX-00470</t>
  </si>
  <si>
    <t>TRANSFER FROM TAHLIA BITES REF INV-1304</t>
  </si>
  <si>
    <t>TX-00679</t>
  </si>
  <si>
    <t>TX-00643</t>
  </si>
  <si>
    <t>TX-00174</t>
  </si>
  <si>
    <t>TRANSFER FROM HYPER BASKET MARKETS REF 1217/1221/1222/1226/1238</t>
  </si>
  <si>
    <t>TX-00284</t>
  </si>
  <si>
    <t>TRANSFER FROM MARINA DINING CO REF INV-1302</t>
  </si>
  <si>
    <t>TX-00308</t>
  </si>
  <si>
    <t>TRANSFER FROM NAJD FAMILY STORES REF INV-1259</t>
  </si>
  <si>
    <t>TX-00542</t>
  </si>
  <si>
    <t>TX-00543</t>
  </si>
  <si>
    <t>TX-00739</t>
  </si>
  <si>
    <t>TX-00067</t>
  </si>
  <si>
    <t>TRANSFER FROM ALSAFA MINIMARKET REF 1137/1295</t>
  </si>
  <si>
    <t>TX-00146</t>
  </si>
  <si>
    <t>TRANSFER FROM HARBOR LIGHT CAFETERIA REF 1316/1326</t>
  </si>
  <si>
    <t>TX-00696</t>
  </si>
  <si>
    <t>TX-00511</t>
  </si>
  <si>
    <t>TRANSFER FROM ZAHRA SUPERSTORE REF INV-1267</t>
  </si>
  <si>
    <t>TX-00239</t>
  </si>
  <si>
    <t>TRANSFER FROM JEDDAH HOTEL SUPPLIES REF 1239/1262</t>
  </si>
  <si>
    <t>TX-00544</t>
  </si>
  <si>
    <t>TX-00007</t>
  </si>
  <si>
    <t>TRANSFER FROM AL BARAKA CATERING REF INV-1328</t>
  </si>
  <si>
    <t>TX-00400</t>
  </si>
  <si>
    <t>TRANSFER FROM RED SEA FRESH MART REF 1265/1286/1290/1293</t>
  </si>
  <si>
    <t>TX-00051</t>
  </si>
  <si>
    <t>TX-00309</t>
  </si>
  <si>
    <t>TRANSFER FROM NAJD FAMILY STORES REF INV-1284</t>
  </si>
  <si>
    <t>TX-00741</t>
  </si>
  <si>
    <t>TX-00264</t>
  </si>
  <si>
    <t>TRANSFER FROM MADINAH ROAD GROCERS REF INV-1318</t>
  </si>
  <si>
    <t>TX-00813</t>
  </si>
  <si>
    <t>TX-00656</t>
  </si>
  <si>
    <t>TX-00772</t>
  </si>
  <si>
    <t>TX-00789</t>
  </si>
  <si>
    <t>TX-00091</t>
  </si>
  <si>
    <t>TRANSFER FROM BLUE WAVE CAFE REF 1364/1367</t>
  </si>
  <si>
    <t>TX-00718</t>
  </si>
  <si>
    <t>TX-00115</t>
  </si>
  <si>
    <t>TRANSFER FROM CORNICHE CAFE GROUP REF 1317/1325</t>
  </si>
  <si>
    <t>TX-00175</t>
  </si>
  <si>
    <t>TRANSFER FROM HYPER BASKET MARKETS REF 1258/1260</t>
  </si>
  <si>
    <t>TX-00240</t>
  </si>
  <si>
    <t>TRANSFER FROM JEDDAH HOTEL SUPPLIES REF INV-1270</t>
  </si>
  <si>
    <t>TX-00310</t>
  </si>
  <si>
    <t>TX-00773</t>
  </si>
  <si>
    <t>TX-00035</t>
  </si>
  <si>
    <t>TRANSFER FROM AL HAMRA EVENTS REF INV-1141</t>
  </si>
  <si>
    <t>TX-00285</t>
  </si>
  <si>
    <t>TX-00401</t>
  </si>
  <si>
    <t>TRANSFER FROM RED SEA FRESH MART REF 1292/1300/1305/1310</t>
  </si>
  <si>
    <t>TX-00036</t>
  </si>
  <si>
    <t>TX-00471</t>
  </si>
  <si>
    <t>TRANSFER FROM TAHLIA BITES REF INV-1321</t>
  </si>
  <si>
    <t>TX-00657</t>
  </si>
  <si>
    <t>TX-00008</t>
  </si>
  <si>
    <t>TRANSFER FROM AL BARAKA CATERING REF INV-1343</t>
  </si>
  <si>
    <t>TX-00176</t>
  </si>
  <si>
    <t>TRANSFER FROM HYPER BASKET MARKETS REF INV-1256</t>
  </si>
  <si>
    <t>TX-00177</t>
  </si>
  <si>
    <t>TRANSFER FROM HYPER BASKET MARKETS REF INV-1269</t>
  </si>
  <si>
    <t>TX-00639</t>
  </si>
  <si>
    <t>TX-00691</t>
  </si>
  <si>
    <t>TX-00068</t>
  </si>
  <si>
    <t>TRANSFER FROM ALSAFA MINIMARKET REF INV-1332</t>
  </si>
  <si>
    <t>TX-00402</t>
  </si>
  <si>
    <t>TRANSFER FROM RED SEA FRESH MART REF 1312/1320</t>
  </si>
  <si>
    <t>TX-00116</t>
  </si>
  <si>
    <t>TRANSFER FROM CORNICHE CAFE GROUP REF 1338/1357</t>
  </si>
  <si>
    <t>TX-00179</t>
  </si>
  <si>
    <t>TX-00601</t>
  </si>
  <si>
    <t>TX-00721</t>
  </si>
  <si>
    <t>TX-00744</t>
  </si>
  <si>
    <t>TX-00178</t>
  </si>
  <si>
    <t>TRANSFER FROM HYPER BASKET MARKETS REF INV-1274</t>
  </si>
  <si>
    <t>TX-00512</t>
  </si>
  <si>
    <t>TRANSFER FROM ZAHRA SUPERSTORE REF INV-1298</t>
  </si>
  <si>
    <t>TX-00687</t>
  </si>
  <si>
    <t>TX-00117</t>
  </si>
  <si>
    <t>TRANSFER FROM CORNICHE CAFE GROUP REF INV-1334</t>
  </si>
  <si>
    <t>TX-00119</t>
  </si>
  <si>
    <t>TX-00139</t>
  </si>
  <si>
    <t>TRANSFER FROM CORNICHE CAFÃ‰ GROUP</t>
  </si>
  <si>
    <t>TX-00403</t>
  </si>
  <si>
    <t>TRANSFER FROM RED SEA FRESH MART REF INV-1315</t>
  </si>
  <si>
    <t>TX-00180</t>
  </si>
  <si>
    <t>TRANSFER FROM HYPER BASKET MARKETS REF 1273/1281/1285</t>
  </si>
  <si>
    <t>TX-00404</t>
  </si>
  <si>
    <t>TRANSFER FROM RED SEA FRESH MART REF INV-1324</t>
  </si>
  <si>
    <t>TX-00453</t>
  </si>
  <si>
    <t>TRANSFER FROM SUNRISE BAKERY REF INV-1411</t>
  </si>
  <si>
    <t>TX-00491</t>
  </si>
  <si>
    <t>TX-00092</t>
  </si>
  <si>
    <t>TRANSFER FROM BLUE WAVE CAFE REF INV-1385</t>
  </si>
  <si>
    <t>TX-00147</t>
  </si>
  <si>
    <t>TRANSFER FROM HARBOR LIGHT CAFETERIA REF INV-1387</t>
  </si>
  <si>
    <t>TX-00355</t>
  </si>
  <si>
    <t>TRANSFER FROM PALM GRILL RESTAURANTS REF INV-1373</t>
  </si>
  <si>
    <t>TX-00452</t>
  </si>
  <si>
    <t>TRANSFER FROM SUNRISE BAKERY</t>
  </si>
  <si>
    <t>TX-00265</t>
  </si>
  <si>
    <t>TX-00009</t>
  </si>
  <si>
    <t>TRANSFER FROM AL BARAKA CATERING</t>
  </si>
  <si>
    <t>TX-00118</t>
  </si>
  <si>
    <t>TX-00670</t>
  </si>
  <si>
    <t>TX-00311</t>
  </si>
  <si>
    <t>TRANSFER FROM NAJD FAMILY STORES REF 1299/1303/1309/1314</t>
  </si>
  <si>
    <t>TX-00354</t>
  </si>
  <si>
    <t>TX-00405</t>
  </si>
  <si>
    <t>TRANSFER FROM RED SEA FRESH MART REF INV-1329</t>
  </si>
  <si>
    <t>TX-00120</t>
  </si>
  <si>
    <t>TRANSFER FROM CORNICHE CAFE GROUP REF INV-1362</t>
  </si>
  <si>
    <t>TX-00241</t>
  </si>
  <si>
    <t>TRANSFER FROM JEDDAH HOTEL SUPPLIES REF 1108/1291/1294/1296</t>
  </si>
  <si>
    <t>TX-00337</t>
  </si>
  <si>
    <t>TRANSFER FROM OASIS JUICE BAR REF INV-1409</t>
  </si>
  <si>
    <t>TX-00586</t>
  </si>
  <si>
    <t>TX-00338</t>
  </si>
  <si>
    <t>TRANSFER FROM OASIS JUICE BAR REF INV-1419</t>
  </si>
  <si>
    <t>TX-00545</t>
  </si>
  <si>
    <t>TX-00546</t>
  </si>
  <si>
    <t>TX-00755</t>
  </si>
  <si>
    <t>TX-00181</t>
  </si>
  <si>
    <t>TRANSFER FROM HYPER BASKET MARKETS REF INV-1319</t>
  </si>
  <si>
    <t>TX-00242</t>
  </si>
  <si>
    <t>TRANSFER FROM JEDDAH HOTEL SUPPLIES REF INV-1297</t>
  </si>
  <si>
    <t>TX-00406</t>
  </si>
  <si>
    <t>TX-00620</t>
  </si>
  <si>
    <t>TX-00658</t>
  </si>
  <si>
    <t>TX-00312</t>
  </si>
  <si>
    <t>TX-00730</t>
  </si>
  <si>
    <t>TX-00093</t>
  </si>
  <si>
    <t>TRANSFER FROM BLUE WAVE CAFE REF INV-1432</t>
  </si>
  <si>
    <t>TX-00148</t>
  </si>
  <si>
    <t>TRANSFER FROM HARBOR LIGHT CAFETERIA REF INV-1415</t>
  </si>
  <si>
    <t>TX-00356</t>
  </si>
  <si>
    <t>TRANSFER FROM PALM GRILL RESTAURANTS REF 1384/1391</t>
  </si>
  <si>
    <t>TX-00547</t>
  </si>
  <si>
    <t>TX-00010</t>
  </si>
  <si>
    <t>TX-00182</t>
  </si>
  <si>
    <t>TX-00266</t>
  </si>
  <si>
    <t>TRANSFER FROM MADINAH ROAD GROCERS REF INV-1378</t>
  </si>
  <si>
    <t>TX-00407</t>
  </si>
  <si>
    <t>TX-00492</t>
  </si>
  <si>
    <t>TX-00589</t>
  </si>
  <si>
    <t>TX-00610</t>
  </si>
  <si>
    <t>TX-00069</t>
  </si>
  <si>
    <t>TX-00183</t>
  </si>
  <si>
    <t>TRANSFER FROM HYPER BASKET MARKETS REF INV-1327</t>
  </si>
  <si>
    <t>TX-00267</t>
  </si>
  <si>
    <t>TRANSFER FROM MADINAH ROAD GROCERS REF INV-1386</t>
  </si>
  <si>
    <t>TX-00408</t>
  </si>
  <si>
    <t>TRANSFER FROM RED SEA FRESH MART REF INV-1359</t>
  </si>
  <si>
    <t>TX-00409</t>
  </si>
  <si>
    <t>TRANSFER FROM RED SEA FRESH MART REF INV-1360</t>
  </si>
  <si>
    <t>TX-00052</t>
  </si>
  <si>
    <t>TX-00184</t>
  </si>
  <si>
    <t>TRANSFER FROM HYPER BASKET MARKETS REF INV-1333</t>
  </si>
  <si>
    <t>TX-00493</t>
  </si>
  <si>
    <t>TRANSFER FROM TAIF ROAD MART REF INV-1392</t>
  </si>
  <si>
    <t>TX-00621</t>
  </si>
  <si>
    <t>TX-00313</t>
  </si>
  <si>
    <t>TRANSFER FROM NAJD FAMILY STORES REF INV-1369</t>
  </si>
  <si>
    <t>TX-00627</t>
  </si>
  <si>
    <t>TX-00037</t>
  </si>
  <si>
    <t>TRANSFER FROM AL HAMRA EVENTS REF INV-1279</t>
  </si>
  <si>
    <t>TX-00149</t>
  </si>
  <si>
    <t>TRANSFER FROM HARBOR LIGHT CAFETERIA REF INV-1445</t>
  </si>
  <si>
    <t>TX-00410</t>
  </si>
  <si>
    <t>TRANSFER FROM RED SEA FRESH MART REF INV-1368</t>
  </si>
  <si>
    <t>TX-00411</t>
  </si>
  <si>
    <t>TRANSFER FROM RED SEA FRESH MART REF INV-1370</t>
  </si>
  <si>
    <t>TX-00413</t>
  </si>
  <si>
    <t>TRANSFER FROM RED SEA FRESH MART REF INV-1379</t>
  </si>
  <si>
    <t>TX-00587</t>
  </si>
  <si>
    <t>TX-00140</t>
  </si>
  <si>
    <t>TRANSFER FROM CORNICHE CAFÃ‰ GROUP REF INV-1424</t>
  </si>
  <si>
    <t>TX-00243</t>
  </si>
  <si>
    <t>TRANSFER FROM JEDDAH HOTEL SUPPLIES REF INV-1347</t>
  </si>
  <si>
    <t>TX-00412</t>
  </si>
  <si>
    <t>TX-00654</t>
  </si>
  <si>
    <t>TX-00357</t>
  </si>
  <si>
    <t>TRANSFER FROM PALM GRILL RESTAURANTS REF 1287/1394/1414</t>
  </si>
  <si>
    <t>TX-00513</t>
  </si>
  <si>
    <t>TRANSFER FROM ZAHRA SUPERSTORE REF INV-1366</t>
  </si>
  <si>
    <t>TX-00809</t>
  </si>
  <si>
    <t>TX-00012</t>
  </si>
  <si>
    <t>TRANSFER FROM AL BARAKA CATERING REF INV-1421</t>
  </si>
  <si>
    <t>TX-00185</t>
  </si>
  <si>
    <t>TRANSFER FROM HYPER BASKET MARKETS REF INV-1353</t>
  </si>
  <si>
    <t>TX-00314</t>
  </si>
  <si>
    <t>TRANSFER FROM NAJD FAMILY STORES REF 1223/1340/1377</t>
  </si>
  <si>
    <t>TX-00380</t>
  </si>
  <si>
    <t>TRANSFER FROM RAWABI MINI MART REF INV-1395</t>
  </si>
  <si>
    <t>TX-00414</t>
  </si>
  <si>
    <t>TRANSFER FROM RED SEA FRESH MART REF INV-1388</t>
  </si>
  <si>
    <t>TX-00011</t>
  </si>
  <si>
    <t>TRANSFER FROM AL BARAKA CATERING REF INV-1397</t>
  </si>
  <si>
    <t>TX-00121</t>
  </si>
  <si>
    <t>TX-00494</t>
  </si>
  <si>
    <t>TRANSFER FROM TAIF ROAD MART REF INV-1410</t>
  </si>
  <si>
    <t>TX-00775</t>
  </si>
  <si>
    <t>TX-00808</t>
  </si>
  <si>
    <t>TX-00053</t>
  </si>
  <si>
    <t>TX-00122</t>
  </si>
  <si>
    <t>TX-00188</t>
  </si>
  <si>
    <t>TRANSFER FROM HYPER BASKET MARKETS REF INV-1346</t>
  </si>
  <si>
    <t>TX-00191</t>
  </si>
  <si>
    <t>TRANSFER FROM HYPER BASKET MARKETS REF INV-1361</t>
  </si>
  <si>
    <t>TX-00186</t>
  </si>
  <si>
    <t>TX-00187</t>
  </si>
  <si>
    <t>TRANSFER FROM HYPER BASKET MARKETS REF INV-1345</t>
  </si>
  <si>
    <t>TX-00190</t>
  </si>
  <si>
    <t>TRANSFER FROM HYPER BASKET MARKETS REF INV-1354</t>
  </si>
  <si>
    <t>TX-00415</t>
  </si>
  <si>
    <t>TRANSFER FROM RED SEA FRESH MART REF INV-1216</t>
  </si>
  <si>
    <t>TX-00630</t>
  </si>
  <si>
    <t>TX-00802</t>
  </si>
  <si>
    <t>TX-00815</t>
  </si>
  <si>
    <t>TX-00189</t>
  </si>
  <si>
    <t>TRANSFER FROM HYPER BASKET MARKETS REF INV-1349</t>
  </si>
  <si>
    <t>TX-00417</t>
  </si>
  <si>
    <t>TX-00416</t>
  </si>
  <si>
    <t>TRANSFER FROM RED SEA FRESH MART REF INV-1393</t>
  </si>
  <si>
    <t>TX-00524</t>
  </si>
  <si>
    <t>TX-00597</t>
  </si>
  <si>
    <t>TX-00244</t>
  </si>
  <si>
    <t>TRANSFER FROM JEDDAH HOTEL SUPPLIES REF 1374/1375</t>
  </si>
  <si>
    <t>TX-00569</t>
  </si>
  <si>
    <t>TX-00070</t>
  </si>
  <si>
    <t>TRANSFER FROM ALSAFA MINIMARKET REF INV-1313</t>
  </si>
  <si>
    <t>TX-00192</t>
  </si>
  <si>
    <t>TX-00495</t>
  </si>
  <si>
    <t>TX-00626</t>
  </si>
  <si>
    <t>TX-00591</t>
  </si>
  <si>
    <t>TX-00669</t>
  </si>
  <si>
    <t>TX-00787</t>
  </si>
  <si>
    <t>TX-00123</t>
  </si>
  <si>
    <t>TX-00315</t>
  </si>
  <si>
    <t>TRANSFER FROM NAJD FAMILY STORES REF INV-1417</t>
  </si>
  <si>
    <t>TX-00418</t>
  </si>
  <si>
    <t>TRANSFER FROM RED SEA FRESH MART REF INV-1418</t>
  </si>
  <si>
    <t>TX-00548</t>
  </si>
  <si>
    <t>TX-00549</t>
  </si>
  <si>
    <t>TX-00193</t>
  </si>
  <si>
    <t>TRANSFER FROM HYPER BASKET MARKETS REF INV-1383</t>
  </si>
  <si>
    <t>TX-00194</t>
  </si>
  <si>
    <t>TRANSFER FROM HYPER BASKET MARKETS REF INV-1390</t>
  </si>
  <si>
    <t>TX-00496</t>
  </si>
  <si>
    <t>TRANSFER FROM TAIF ROAD MART REF INV-1431</t>
  </si>
  <si>
    <t>TX-00497</t>
  </si>
  <si>
    <t>TRANSFER FROM TAIF ROAD MART REF INV-1433</t>
  </si>
  <si>
    <t>TX-00650</t>
  </si>
  <si>
    <t>TX-00268</t>
  </si>
  <si>
    <t>TRANSFER FROM MADINAH ROAD GROCERS REF INV-1440</t>
  </si>
  <si>
    <t>TX-00195</t>
  </si>
  <si>
    <t>TRANSFER FROM HYPER BASKET MARKETS REF INV-1380</t>
  </si>
  <si>
    <t>TX-00358</t>
  </si>
  <si>
    <t>TRANSFER FROM PALM GRILL RESTAURANTS REF INV-1250</t>
  </si>
  <si>
    <t>TX-00581</t>
  </si>
  <si>
    <t>TX-00124</t>
  </si>
  <si>
    <t>TRANSFER FROM CORNICHE CAFE GROUP REF 1446/1465</t>
  </si>
  <si>
    <t>TX-00196</t>
  </si>
  <si>
    <t>TX-00197</t>
  </si>
  <si>
    <t>TRANSFER FROM HYPER BASKET MARKETS REF INV-1400</t>
  </si>
  <si>
    <t>TX-00684</t>
  </si>
  <si>
    <t>TX-00821</t>
  </si>
  <si>
    <t>TX-00575</t>
  </si>
  <si>
    <t>TX-00674</t>
  </si>
  <si>
    <t>TX-00550</t>
  </si>
  <si>
    <t>TX-00690</t>
  </si>
  <si>
    <t>TX-00013</t>
  </si>
  <si>
    <t>TRANSFER FROM AL BARAKA CATERING REF INV-1457</t>
  </si>
  <si>
    <t>TX-00359</t>
  </si>
  <si>
    <t>TRANSFER FROM PALM GRILL RESTAURANTS REF INV-1459</t>
  </si>
  <si>
    <t>TX-00472</t>
  </si>
  <si>
    <t>TX-00038</t>
  </si>
  <si>
    <t>TRANSFER FROM AL HAMRA EVENTS REF 1450/1460</t>
  </si>
  <si>
    <t>TX-00198</t>
  </si>
  <si>
    <t>TRANSFER FROM HYPER BASKET MARKETS REF INV-1405</t>
  </si>
  <si>
    <t>TX-00316</t>
  </si>
  <si>
    <t>TRANSFER FROM NAJD FAMILY STORES REF 1407/1427/1428</t>
  </si>
  <si>
    <t>TX-00782</t>
  </si>
  <si>
    <t>TX-00126</t>
  </si>
  <si>
    <t>TRANSFER FROM CORNICHE CAFE GROUP REF INV-1472</t>
  </si>
  <si>
    <t>TX-00360</t>
  </si>
  <si>
    <t>TRANSFER FROM PALM GRILL RESTAURANTS REF INV-1475</t>
  </si>
  <si>
    <t>TX-00361</t>
  </si>
  <si>
    <t>TX-00651</t>
  </si>
  <si>
    <t>TX-00774</t>
  </si>
  <si>
    <t>TX-00199</t>
  </si>
  <si>
    <t>TRANSFER FROM HYPER BASKET MARKETS REF 1402/1403/1408</t>
  </si>
  <si>
    <t>TX-00339</t>
  </si>
  <si>
    <t>TRANSFER FROM OASIS JUICE BAR REF INV-1497</t>
  </si>
  <si>
    <t>TX-00419</t>
  </si>
  <si>
    <t>TRANSFER FROM RED SEA FRESH MART REF INV-1225</t>
  </si>
  <si>
    <t>TX-00014</t>
  </si>
  <si>
    <t>TRANSFER FROM AL BARAKA CATERING REF 1449/1462</t>
  </si>
  <si>
    <t>TX-00039</t>
  </si>
  <si>
    <t>TX-00421</t>
  </si>
  <si>
    <t>TRANSFER FROM RED SEA FRESH MART REF INV-1444</t>
  </si>
  <si>
    <t>TX-00649</t>
  </si>
  <si>
    <t>TX-00071</t>
  </si>
  <si>
    <t>TRANSFER FROM ALSAFA MINIMARKET REF INV-1461</t>
  </si>
  <si>
    <t>TX-00125</t>
  </si>
  <si>
    <t>TX-00420</t>
  </si>
  <si>
    <t>TRANSFER FROM RED SEA FRESH MART REF INV-1439</t>
  </si>
  <si>
    <t>TX-00381</t>
  </si>
  <si>
    <t>TRANSFER FROM RAWABI MINI MART</t>
  </si>
  <si>
    <t>TX-00520</t>
  </si>
  <si>
    <t>TX-00015</t>
  </si>
  <si>
    <t>TRANSFER FROM AL BARAKA CATERING REF INV-1471</t>
  </si>
  <si>
    <t>TX-00016</t>
  </si>
  <si>
    <t>TRANSFER FROM AL BARAKA CATERING REF INV-1480</t>
  </si>
  <si>
    <t>TX-00748</t>
  </si>
  <si>
    <t>TX-00040</t>
  </si>
  <si>
    <t>TX-00362</t>
  </si>
  <si>
    <t>TRANSFER FROM PALM GRILL RESTAURANTS REF INV-1489</t>
  </si>
  <si>
    <t>TX-00799</t>
  </si>
  <si>
    <t>TX-00423</t>
  </si>
  <si>
    <t>TRANSFER FROM RED SEA FRESH MART REF INV-1458</t>
  </si>
  <si>
    <t>TX-00635</t>
  </si>
  <si>
    <t>TX-00072</t>
  </si>
  <si>
    <t>TRANSFER FROM ALSAFA MINIMARKET REF INV-1464</t>
  </si>
  <si>
    <t>TX-00094</t>
  </si>
  <si>
    <t>TRANSFER FROM BLUE WAVE CAFE REF INV-1518</t>
  </si>
  <si>
    <t>TX-00127</t>
  </si>
  <si>
    <t>TRANSFER FROM CORNICHE CAFE GROUP REF INV-1496</t>
  </si>
  <si>
    <t>TX-00602</t>
  </si>
  <si>
    <t>TX-00200</t>
  </si>
  <si>
    <t>TRANSFER FROM HYPER BASKET MARKETS REF 1200/1406/1416/1423</t>
  </si>
  <si>
    <t>TX-00422</t>
  </si>
  <si>
    <t>TRANSFER FROM RED SEA FRESH MART REF INV-1451</t>
  </si>
  <si>
    <t>TX-00498</t>
  </si>
  <si>
    <t>TX-00622</t>
  </si>
  <si>
    <t>TX-00776</t>
  </si>
  <si>
    <t>TX-00269</t>
  </si>
  <si>
    <t>TX-00637</t>
  </si>
  <si>
    <t>TX-00017</t>
  </si>
  <si>
    <t>TRANSFER FROM AL BARAKA CATERING REF INV-1487</t>
  </si>
  <si>
    <t>TX-00424</t>
  </si>
  <si>
    <t>TX-00018</t>
  </si>
  <si>
    <t>TRANSFER FROM AL BARAKA CATERING REF INV-1493</t>
  </si>
  <si>
    <t>TX-00054</t>
  </si>
  <si>
    <t>TRANSFER FROM AL KHALIJ SWEETS REF INV-1530</t>
  </si>
  <si>
    <t>TX-00317</t>
  </si>
  <si>
    <t>TRANSFER FROM NAJD FAMILY STORES REF INV-1456</t>
  </si>
  <si>
    <t>TX-00073</t>
  </si>
  <si>
    <t>TRANSFER FROM ALSAFA MINIMARKET REF INV-1412</t>
  </si>
  <si>
    <t>TX-00128</t>
  </si>
  <si>
    <t>TRANSFER FROM CORNICHE CAFE GROUP REF INV-1506</t>
  </si>
  <si>
    <t>TX-00612</t>
  </si>
  <si>
    <t>TX-00663</t>
  </si>
  <si>
    <t>TX-00425</t>
  </si>
  <si>
    <t>TX-00708</t>
  </si>
  <si>
    <t>TX-00201</t>
  </si>
  <si>
    <t>TRANSFER FROM HYPER BASKET MARKETS REF 1425/1434/1435</t>
  </si>
  <si>
    <t>TX-00363</t>
  </si>
  <si>
    <t>TRANSFER FROM PALM GRILL RESTAURANTS REF INV-1494</t>
  </si>
  <si>
    <t>TX-00551</t>
  </si>
  <si>
    <t>TX-00552</t>
  </si>
  <si>
    <t>TX-00617</t>
  </si>
  <si>
    <t>TX-00731</t>
  </si>
  <si>
    <t>TX-00095</t>
  </si>
  <si>
    <t>TX-00202</t>
  </si>
  <si>
    <t>TX-00474</t>
  </si>
  <si>
    <t>TRANSFER FROM TAHLIA BITES REF INV-1500</t>
  </si>
  <si>
    <t>TX-00592</t>
  </si>
  <si>
    <t>TX-00203</t>
  </si>
  <si>
    <t>TRANSFER FROM HYPER BASKET MARKETS REF INV-1448</t>
  </si>
  <si>
    <t>TX-00286</t>
  </si>
  <si>
    <t>TRANSFER FROM MARINA DINING CO REF 1502/1520</t>
  </si>
  <si>
    <t>TX-00514</t>
  </si>
  <si>
    <t>TX-00426</t>
  </si>
  <si>
    <t>TRANSFER FROM RED SEA FRESH MART REF 1484/1485/1486</t>
  </si>
  <si>
    <t>TX-00473</t>
  </si>
  <si>
    <t>TX-00553</t>
  </si>
  <si>
    <t>TX-00019</t>
  </si>
  <si>
    <t>TX-00245</t>
  </si>
  <si>
    <t>TRANSFER FROM JEDDAH HOTEL SUPPLIES REF 1438/1443/1454</t>
  </si>
  <si>
    <t>TX-00318</t>
  </si>
  <si>
    <t>TX-00769</t>
  </si>
  <si>
    <t>TX-00816</t>
  </si>
  <si>
    <t>TX-00246</t>
  </si>
  <si>
    <t>TRANSFER FROM JEDDAH HOTEL SUPPLIES REF INV-1467</t>
  </si>
  <si>
    <t>TX-00287</t>
  </si>
  <si>
    <t>TX-00364</t>
  </si>
  <si>
    <t>TX-00794</t>
  </si>
  <si>
    <t>TX-00226</t>
  </si>
  <si>
    <t>TX-00247</t>
  </si>
  <si>
    <t>TRANSFER FROM JEDDAH HOTEL SUPPLIES REF INV-1474</t>
  </si>
  <si>
    <t>TX-00783</t>
  </si>
  <si>
    <t>TX-00204</t>
  </si>
  <si>
    <t>TRANSFER FROM HYPER BASKET MARKETS REF INV-1476</t>
  </si>
  <si>
    <t>TX-00074</t>
  </si>
  <si>
    <t>TRANSFER FROM ALSAFA MINIMARKET REF INV-1513</t>
  </si>
  <si>
    <t>TX-00270</t>
  </si>
  <si>
    <t>TRANSFER FROM MADINAH ROAD GROCERS REF INV-1514</t>
  </si>
  <si>
    <t>TX-00475</t>
  </si>
  <si>
    <t>TX-00723</t>
  </si>
  <si>
    <t>TX-00788</t>
  </si>
  <si>
    <t>TX-00796</t>
  </si>
  <si>
    <t>TX-00801</t>
  </si>
  <si>
    <t>TX-00320</t>
  </si>
  <si>
    <t>TX-00319</t>
  </si>
  <si>
    <t>TRANSFER FROM NAJD FAMILY STORES REF INV-1341</t>
  </si>
  <si>
    <t>TX-00321</t>
  </si>
  <si>
    <t>TRANSFER FROM NAJD FAMILY STORES REF INV-1498</t>
  </si>
  <si>
    <t>TX-00632</t>
  </si>
  <si>
    <t>TX-00248</t>
  </si>
  <si>
    <t>TRANSFER FROM JEDDAH HOTEL SUPPLIES REF INV-1482</t>
  </si>
  <si>
    <t>TX-00428</t>
  </si>
  <si>
    <t>TRANSFER FROM RED SEA FRESH MART REF INV-1515</t>
  </si>
  <si>
    <t>TX-00365</t>
  </si>
  <si>
    <t>TRANSFER FROM PALM GRILL RESTAURANTS REF INV-1544</t>
  </si>
  <si>
    <t>TX-00382</t>
  </si>
  <si>
    <t>TX-00455</t>
  </si>
  <si>
    <t>TRANSFER FROM SUNRISE BAKERY REF INV-1597</t>
  </si>
  <si>
    <t>TX-00644</t>
  </si>
  <si>
    <t>TX-00020</t>
  </si>
  <si>
    <t>TX-00664</t>
  </si>
  <si>
    <t>TX-00075</t>
  </si>
  <si>
    <t>TRANSFER FROM ALSAFA MINIMARKET REF 1517/1536</t>
  </si>
  <si>
    <t>TX-00454</t>
  </si>
  <si>
    <t>TX-00596</t>
  </si>
  <si>
    <t>TX-00790</t>
  </si>
  <si>
    <t>TX-00800</t>
  </si>
  <si>
    <t>TX-00129</t>
  </si>
  <si>
    <t>TRANSFER FROM CORNICHE CAFE GROUP REF INV-1549</t>
  </si>
  <si>
    <t>TX-00288</t>
  </si>
  <si>
    <t>TRANSFER FROM MARINA DINING CO REF INV-1537</t>
  </si>
  <si>
    <t>TX-00427</t>
  </si>
  <si>
    <t>TRANSFER FROM RED SEA FRESH MART REF INV-1511</t>
  </si>
  <si>
    <t>TX-00680</t>
  </si>
  <si>
    <t>TX-00340</t>
  </si>
  <si>
    <t>TRANSFER FROM OASIS JUICE BAR REF INV-1568</t>
  </si>
  <si>
    <t>TX-00205</t>
  </si>
  <si>
    <t>TRANSFER FROM HYPER BASKET MARKETS REF 1483/1488/1490</t>
  </si>
  <si>
    <t>TX-00608</t>
  </si>
  <si>
    <t>TX-00366</t>
  </si>
  <si>
    <t>TRANSFER FROM PALM GRILL RESTAURANTS REF INV-1552</t>
  </si>
  <si>
    <t>TX-00429</t>
  </si>
  <si>
    <t>TRANSFER FROM RED SEA FRESH MART REF 1507/1509</t>
  </si>
  <si>
    <t>TX-00607</t>
  </si>
  <si>
    <t>TX-00820</t>
  </si>
  <si>
    <t>TX-00629</t>
  </si>
  <si>
    <t>TX-00323</t>
  </si>
  <si>
    <t>TRANSFER FROM NAJD FAMILY STORES REF INV-1526</t>
  </si>
  <si>
    <t>TX-00324</t>
  </si>
  <si>
    <t>TX-00055</t>
  </si>
  <si>
    <t>TX-00096</t>
  </si>
  <si>
    <t>TRANSFER FROM BLUE WAVE CAFE REF INV-1441</t>
  </si>
  <si>
    <t>TX-00130</t>
  </si>
  <si>
    <t>TX-00207</t>
  </si>
  <si>
    <t>TRANSFER FROM HYPER BASKET MARKETS REF INV-1504</t>
  </si>
  <si>
    <t>TX-00325</t>
  </si>
  <si>
    <t>TRANSFER FROM NAJD FAMILY STORES REF INV-1532</t>
  </si>
  <si>
    <t>TX-00554</t>
  </si>
  <si>
    <t>TX-00555</t>
  </si>
  <si>
    <t>TX-00588</t>
  </si>
  <si>
    <t>TX-00076</t>
  </si>
  <si>
    <t>TRANSFER FROM ALSAFA MINIMARKET REF INV-1529</t>
  </si>
  <si>
    <t>TX-00206</t>
  </si>
  <si>
    <t>TRANSFER FROM HYPER BASKET MARKETS REF INV-1495</t>
  </si>
  <si>
    <t>TX-00322</t>
  </si>
  <si>
    <t>TX-00641</t>
  </si>
  <si>
    <t>TX-00785</t>
  </si>
  <si>
    <t>TX-00150</t>
  </si>
  <si>
    <t>TRANSFER FROM HARBOR LIGHT CAFETERIA REF INV-1594</t>
  </si>
  <si>
    <t>TX-00499</t>
  </si>
  <si>
    <t>TRANSFER FROM TAIF ROAD MART REF INV-1573</t>
  </si>
  <si>
    <t>TX-00523</t>
  </si>
  <si>
    <t>TX-00021</t>
  </si>
  <si>
    <t>TX-00249</t>
  </si>
  <si>
    <t>TRANSFER FROM JEDDAH HOTEL SUPPLIES REF INV-1519</t>
  </si>
  <si>
    <t>TX-00289</t>
  </si>
  <si>
    <t>TX-00556</t>
  </si>
  <si>
    <t>TX-00023</t>
  </si>
  <si>
    <t>TX-00077</t>
  </si>
  <si>
    <t>TRANSFER FROM ALSAFA MINIMARKET REF INV-1554</t>
  </si>
  <si>
    <t>TX-00208</t>
  </si>
  <si>
    <t>TRANSFER FROM HYPER BASKET MARKETS REF INV-1508</t>
  </si>
  <si>
    <t>TX-00689</t>
  </si>
  <si>
    <t>TX-00131</t>
  </si>
  <si>
    <t>TX-00151</t>
  </si>
  <si>
    <t>TRANSFER FROM HARBOR LIGHT CAFETERIA REF INV-1595</t>
  </si>
  <si>
    <t>TX-00807</t>
  </si>
  <si>
    <t>TX-00811</t>
  </si>
  <si>
    <t>TX-00430</t>
  </si>
  <si>
    <t>TRANSFER FROM RED SEA FRESH MART REF 1539/1541/1547</t>
  </si>
  <si>
    <t>TX-00500</t>
  </si>
  <si>
    <t>TRANSFER FROM TAIF ROAD MART REF 1566/1574</t>
  </si>
  <si>
    <t>TX-00022</t>
  </si>
  <si>
    <t>TRANSFER FROM AL BARAKA CATERING REF INV-1569</t>
  </si>
  <si>
    <t>TX-00024</t>
  </si>
  <si>
    <t>TRANSFER FROM AL BARAKA CATERING REF INV-1579</t>
  </si>
  <si>
    <t>TX-00383</t>
  </si>
  <si>
    <t>TRANSFER FROM RAWABI MINI MART REF INV-1413</t>
  </si>
  <si>
    <t>TX-00384</t>
  </si>
  <si>
    <t>TRANSFER FROM RAWABI MINI MART REF INV-1565</t>
  </si>
  <si>
    <t>TX-00456</t>
  </si>
  <si>
    <t>TX-00777</t>
  </si>
  <si>
    <t>TX-00368</t>
  </si>
  <si>
    <t>TRANSFER FROM PALM GRILL RESTAURANTS REF INV-1582</t>
  </si>
  <si>
    <t>TX-00515</t>
  </si>
  <si>
    <t>TRANSFER FROM ZAHRA SUPERSTORE REF INV-1551</t>
  </si>
  <si>
    <t>TX-00636</t>
  </si>
  <si>
    <t>TX-00271</t>
  </si>
  <si>
    <t>TRANSFER FROM MADINAH ROAD GROCERS REF INV-1478</t>
  </si>
  <si>
    <t>TX-00326</t>
  </si>
  <si>
    <t>TRANSFER FROM NAJD FAMILY STORES REF INV-1550</t>
  </si>
  <si>
    <t>TX-00431</t>
  </si>
  <si>
    <t>TX-00432</t>
  </si>
  <si>
    <t>TRANSFER FROM RED SEA FRESH MART REF INV-1570</t>
  </si>
  <si>
    <t>TX-00518</t>
  </si>
  <si>
    <t>TX-00525</t>
  </si>
  <si>
    <t>TX-00618</t>
  </si>
  <si>
    <t>TX-00132</t>
  </si>
  <si>
    <t>TRANSFER FROM CORNICHE CAFE GROUP REF 1585/1589</t>
  </si>
  <si>
    <t>TX-00250</t>
  </si>
  <si>
    <t>TRANSFER FROM JEDDAH HOTEL SUPPLIES REF INV-1531</t>
  </si>
  <si>
    <t>TX-00367</t>
  </si>
  <si>
    <t>TRANSFER FROM PALM GRILL RESTAURANTS REF INV-1581</t>
  </si>
  <si>
    <t>TX-00209</t>
  </si>
  <si>
    <t>TRANSFER FROM HYPER BASKET MARKETS REF 1524/1542</t>
  </si>
  <si>
    <t>TX-00476</t>
  </si>
  <si>
    <t>TRANSFER FROM TAHLIA BITES REF INV-1580</t>
  </si>
  <si>
    <t>TX-00719</t>
  </si>
  <si>
    <t>TX-00818</t>
  </si>
  <si>
    <t>TX-00598</t>
  </si>
  <si>
    <t>TX-00097</t>
  </si>
  <si>
    <t>TRANSFER FROM BLUE WAVE CAFE REF INV-1625</t>
  </si>
  <si>
    <t>TX-00078</t>
  </si>
  <si>
    <t>TRANSFER FROM ALSAFA MINIMARKET REF INV-1576</t>
  </si>
  <si>
    <t>TX-00623</t>
  </si>
  <si>
    <t>TX-00715</t>
  </si>
  <si>
    <t>TX-00786</t>
  </si>
  <si>
    <t>TX-00672</t>
  </si>
  <si>
    <t>TX-00703</t>
  </si>
  <si>
    <t>TX-00210</t>
  </si>
  <si>
    <t>TX-00251</t>
  </si>
  <si>
    <t>TRANSFER FROM JEDDAH HOTEL SUPPLIES REF 1538/1545</t>
  </si>
  <si>
    <t>TX-00433</t>
  </si>
  <si>
    <t>TRANSFER FROM RED SEA FRESH MART REF 1557/1562</t>
  </si>
  <si>
    <t>TX-00817</t>
  </si>
  <si>
    <t>TX-00759</t>
  </si>
  <si>
    <t>TX-00272</t>
  </si>
  <si>
    <t>TRANSFER FROM MADINAH ROAD GROCERS REF INV-1602</t>
  </si>
  <si>
    <t>TX-00133</t>
  </si>
  <si>
    <t>TRANSFER FROM CORNICHE CAFE GROUP REF INV-1604</t>
  </si>
  <si>
    <t>TX-00557</t>
  </si>
  <si>
    <t>TX-00558</t>
  </si>
  <si>
    <t>TX-00565</t>
  </si>
  <si>
    <t>TX-00079</t>
  </si>
  <si>
    <t>TX-00516</t>
  </si>
  <si>
    <t>TRANSFER FROM ZAHRA SUPERSTORE REF INV-1587</t>
  </si>
  <si>
    <t>TX-00252</t>
  </si>
  <si>
    <t>TRANSFER FROM JEDDAH HOTEL SUPPLIES REF 1540/1556</t>
  </si>
  <si>
    <t>TX-00434</t>
  </si>
  <si>
    <t>TRANSFER FROM RED SEA FRESH MART REF 1583/1592</t>
  </si>
  <si>
    <t>TX-00327</t>
  </si>
  <si>
    <t>TRANSFER FROM NAJD FAMILY STORES REF INV-1578</t>
  </si>
  <si>
    <t>TX-00574</t>
  </si>
  <si>
    <t>TX-00609</t>
  </si>
  <si>
    <t>TX-00457</t>
  </si>
  <si>
    <t>TRANSFER FROM SUNRISE BAKERY REF INV-1650</t>
  </si>
  <si>
    <t>TX-00604</t>
  </si>
  <si>
    <t>TX-00098</t>
  </si>
  <si>
    <t>TRANSFER FROM BLUE WAVE CAFE REF INV-1643</t>
  </si>
  <si>
    <t>TX-00477</t>
  </si>
  <si>
    <t>TRANSFER FROM TAHLIA BITES REF INV-1626</t>
  </si>
  <si>
    <t>TX-00501</t>
  </si>
  <si>
    <t>TRANSFER FROM TAIF ROAD MART REF INV-1609</t>
  </si>
  <si>
    <t>TX-00519</t>
  </si>
  <si>
    <t>TX-00025</t>
  </si>
  <si>
    <t>TRANSFER FROM AL BARAKA CATERING REF 1436/1614/1616</t>
  </si>
  <si>
    <t>TX-00253</t>
  </si>
  <si>
    <t>TRANSFER FROM JEDDAH HOTEL SUPPLIES REF 1548/1563</t>
  </si>
  <si>
    <t>TX-00559</t>
  </si>
  <si>
    <t>TX-00737</t>
  </si>
  <si>
    <t>TX-00749</t>
  </si>
  <si>
    <t>TX-00435</t>
  </si>
  <si>
    <t>TRANSFER FROM RED SEA FRESH MART REF 1590/1593/1596/1600/1601/1606</t>
  </si>
  <si>
    <t>TX-00141</t>
  </si>
  <si>
    <t>TRANSFER FROM CORNICHE CAFÃ‰ GROUP REF INV-1622</t>
  </si>
  <si>
    <t>TX-00659</t>
  </si>
  <si>
    <t>TX-00041</t>
  </si>
  <si>
    <t>TRANSFER FROM AL HAMRA EVENTS REF INV-1617</t>
  </si>
  <si>
    <t>TX-00599</t>
  </si>
  <si>
    <t>TX-00026</t>
  </si>
  <si>
    <t>TRANSFER FROM AL BARAKA CATERING REF INV-1619</t>
  </si>
  <si>
    <t>TX-00646</t>
  </si>
  <si>
    <t>TX-00134</t>
  </si>
  <si>
    <t>TRANSFER FROM CORNICHE CAFE GROUP REF INV-1640</t>
  </si>
  <si>
    <t>TX-00328</t>
  </si>
  <si>
    <t>TRANSFER FROM NAJD FAMILY STORES REF INV-1584</t>
  </si>
  <si>
    <t>TX-00436</t>
  </si>
  <si>
    <t>TRANSFER FROM RED SEA FRESH MART REF INV-1611</t>
  </si>
  <si>
    <t>TX-00619</t>
  </si>
  <si>
    <t>TX-00211</t>
  </si>
  <si>
    <t>TRANSFER FROM HYPER BASKET MARKETS REF 1577/1588</t>
  </si>
  <si>
    <t>TX-00370</t>
  </si>
  <si>
    <t>TRANSFER FROM PALM GRILL RESTAURANTS REF INV-1633</t>
  </si>
  <si>
    <t>TX-00502</t>
  </si>
  <si>
    <t>TRANSFER FROM TAIF ROAD MART REF INV-1636</t>
  </si>
  <si>
    <t>TX-00080</t>
  </si>
  <si>
    <t>TRANSFER FROM ALSAFA MINIMARKET REF INV-1623</t>
  </si>
  <si>
    <t>TX-00099</t>
  </si>
  <si>
    <t>TRANSFER FROM BLUE WAVE CAFE REF INV-1661</t>
  </si>
  <si>
    <t>TX-00369</t>
  </si>
  <si>
    <t>TX-00056</t>
  </si>
  <si>
    <t>TRANSFER FROM AL KHALIJ SWEETS REF INV-1660</t>
  </si>
  <si>
    <t>TX-00254</t>
  </si>
  <si>
    <t>TRANSFER FROM JEDDAH HOTEL SUPPLIES REF INV-1591</t>
  </si>
  <si>
    <t>TX-00371</t>
  </si>
  <si>
    <t>TRANSFER FROM PALM GRILL RESTAURANTS REF INV-1635</t>
  </si>
  <si>
    <t>TX-00624</t>
  </si>
  <si>
    <t>TX-00648</t>
  </si>
  <si>
    <t>TX-00676</t>
  </si>
  <si>
    <t>TX-00212</t>
  </si>
  <si>
    <t>TX-00693</t>
  </si>
  <si>
    <t>TX-00716</t>
  </si>
  <si>
    <t>TX-00706</t>
  </si>
  <si>
    <t>TX-00712</t>
  </si>
  <si>
    <t>TX-00027</t>
  </si>
  <si>
    <t>TRANSFER FROM AL BARAKA CATERING REF INV-1637</t>
  </si>
  <si>
    <t>TX-00057</t>
  </si>
  <si>
    <t>TX-00290</t>
  </si>
  <si>
    <t>TRANSFER FROM MARINA DINING CO REF INV-1644</t>
  </si>
  <si>
    <t>TX-00678</t>
  </si>
  <si>
    <t>TX-00329</t>
  </si>
  <si>
    <t>TRANSFER FROM NAJD FAMILY STORES REF INV-1615</t>
  </si>
  <si>
    <t>TX-00478</t>
  </si>
  <si>
    <t>TX-00728</t>
  </si>
  <si>
    <t>TX-00028</t>
  </si>
  <si>
    <t>TRANSFER FROM AL BARAKA CATERING REF INV-1652</t>
  </si>
  <si>
    <t>TX-00438</t>
  </si>
  <si>
    <t>TRANSFER FROM RED SEA FRESH MART REF INV-1630</t>
  </si>
  <si>
    <t>TX-00652</t>
  </si>
  <si>
    <t>TX-00699</t>
  </si>
  <si>
    <t>TX-00213</t>
  </si>
  <si>
    <t>TRANSFER FROM HYPER BASKET MARKETS REF INV-1603</t>
  </si>
  <si>
    <t>TX-00437</t>
  </si>
  <si>
    <t>TRANSFER FROM RED SEA FRESH MART REF INV-1628</t>
  </si>
  <si>
    <t>TX-00082</t>
  </si>
  <si>
    <t>TRANSFER FROM ALSAFA MINIMARKET REF INV-1638</t>
  </si>
  <si>
    <t>TX-00215</t>
  </si>
  <si>
    <t>TX-00385</t>
  </si>
  <si>
    <t>TRANSFER FROM RAWABI MINI MART REF 1555/1648</t>
  </si>
  <si>
    <t>TX-00081</t>
  </si>
  <si>
    <t>TRANSFER FROM ALSAFA MINIMARKET REF INV-1634</t>
  </si>
  <si>
    <t>TX-00135</t>
  </si>
  <si>
    <t>TRANSFER FROM CORNICHE CAFE GROUP REF INV-1670</t>
  </si>
  <si>
    <t>TX-00479</t>
  </si>
  <si>
    <t>TX-00698</t>
  </si>
  <si>
    <t>TX-00767</t>
  </si>
  <si>
    <t>TX-00255</t>
  </si>
  <si>
    <t>TRANSFER FROM JEDDAH HOTEL SUPPLIES REF INV-1605</t>
  </si>
  <si>
    <t>TX-00517</t>
  </si>
  <si>
    <t>TRANSFER FROM ZAHRA SUPERSTORE REF 1618/1631</t>
  </si>
  <si>
    <t>TX-00273</t>
  </si>
  <si>
    <t>TRANSFER FROM MADINAH ROAD GROCERS REF 1655/1657</t>
  </si>
  <si>
    <t>TX-00707</t>
  </si>
  <si>
    <t>TX-00058</t>
  </si>
  <si>
    <t>TRANSFER FROM AL KHALIJ SWEETS REF 1693/1695</t>
  </si>
  <si>
    <t>TX-00214</t>
  </si>
  <si>
    <t>TRANSFER FROM HYPER BASKET MARKETS REF INV-1608</t>
  </si>
  <si>
    <t>TX-00439</t>
  </si>
  <si>
    <t>TRANSFER FROM RED SEA FRESH MART REF INV-1639</t>
  </si>
  <si>
    <t>TX-00752</t>
  </si>
  <si>
    <t>TX-00372</t>
  </si>
  <si>
    <t>TRANSFER FROM PALM GRILL RESTAURANTS REF INV-1654</t>
  </si>
  <si>
    <t>TX-00440</t>
  </si>
  <si>
    <t>TX-00560</t>
  </si>
  <si>
    <t>TX-00561</t>
  </si>
  <si>
    <t>TX-00758</t>
  </si>
  <si>
    <t>TX-00762</t>
  </si>
  <si>
    <t>TX-00136</t>
  </si>
  <si>
    <t>TX-00441</t>
  </si>
  <si>
    <t>TRANSFER FROM RED SEA FRESH MART REF INV-1632</t>
  </si>
  <si>
    <t>TX-00572</t>
  </si>
  <si>
    <t>TX-00216</t>
  </si>
  <si>
    <t>TRANSFER FROM HYPER BASKET MARKETS REF INV-1533</t>
  </si>
  <si>
    <t>TX-00217</t>
  </si>
  <si>
    <t>TX-00442</t>
  </si>
  <si>
    <t>TRANSFER FROM RED SEA FRESH MART REF INV-1645</t>
  </si>
  <si>
    <t>TX-00291</t>
  </si>
  <si>
    <t>TX-00341</t>
  </si>
  <si>
    <t>TRANSFER FROM OASIS JUICE BAR REF 1690/1711</t>
  </si>
  <si>
    <t>TX-00614</t>
  </si>
  <si>
    <t>TX-00256</t>
  </si>
  <si>
    <t>TX-00029</t>
  </si>
  <si>
    <t>TRANSFER FROM AL BARAKA CATERING REF INV-1665</t>
  </si>
  <si>
    <t>TX-00292</t>
  </si>
  <si>
    <t>TRANSFER FROM MARINA DINING CO REF INV-1689</t>
  </si>
  <si>
    <t>TX-00480</t>
  </si>
  <si>
    <t>TX-00042</t>
  </si>
  <si>
    <t>TRANSFER FROM AL HAMRA EVENTS REF INV-1607</t>
  </si>
  <si>
    <t>TX-00219</t>
  </si>
  <si>
    <t>TRANSFER FROM HYPER BASKET MARKETS REF INV-1620</t>
  </si>
  <si>
    <t>TX-00220</t>
  </si>
  <si>
    <t>TRANSFER FROM HYPER BASKET MARKETS REF INV-1621</t>
  </si>
  <si>
    <t>TX-00218</t>
  </si>
  <si>
    <t>TRANSFER FROM HYPER BASKET MARKETS REF INV-1558</t>
  </si>
  <si>
    <t>TX-00443</t>
  </si>
  <si>
    <t>TRANSFER FROM RED SEA FRESH MART REF INV-1646</t>
  </si>
  <si>
    <t>TX-00445</t>
  </si>
  <si>
    <t>TX-00221</t>
  </si>
  <si>
    <t>TRANSFER FROM HYPER BASKET MARKETS REF INV-1642</t>
  </si>
  <si>
    <t>TX-00373</t>
  </si>
  <si>
    <t>TRANSFER FROM PALM GRILL RESTAURANTS REF INV-1698</t>
  </si>
  <si>
    <t>TX-00444</t>
  </si>
  <si>
    <t>TX-00137</t>
  </si>
  <si>
    <t>TRANSFER FROM CORNICHE CAFE GROUP REF 1683/1687/1697/1706</t>
  </si>
  <si>
    <t>TX-00446</t>
  </si>
  <si>
    <t>TRANSFER FROM RED SEA FRESH MART REF INV-1671</t>
  </si>
  <si>
    <t>TX-00274</t>
  </si>
  <si>
    <t>TRANSFER FROM MADINAH ROAD GROCERS REF 1674/1686</t>
  </si>
  <si>
    <t>TX-00330</t>
  </si>
  <si>
    <t>TRANSFER FROM NAJD FAMILY STORES REF INV-1663</t>
  </si>
  <si>
    <t>TX-00222</t>
  </si>
  <si>
    <t>TX-00043</t>
  </si>
  <si>
    <t>TRANSFER FROM AL HAMRA EVENTS REF INV-1682</t>
  </si>
  <si>
    <t>TX-00257</t>
  </si>
  <si>
    <t>TRANSFER FROM JEDDAH HOTEL SUPPLIES REF INV-1653</t>
  </si>
  <si>
    <t>Keyword</t>
  </si>
  <si>
    <t>Category</t>
  </si>
  <si>
    <t>TRANSFER FROM</t>
  </si>
  <si>
    <t>Customer Receipts</t>
  </si>
  <si>
    <t>Cash Deposits</t>
  </si>
  <si>
    <t>SUPPLIER PAYMENT</t>
  </si>
  <si>
    <t>Supplier Payments</t>
  </si>
  <si>
    <t>Fuel &amp; Logistics</t>
  </si>
  <si>
    <t>Payroll</t>
  </si>
  <si>
    <t>Rent</t>
  </si>
  <si>
    <t>LOAN INSTALMENT</t>
  </si>
  <si>
    <t>Loan Repayments</t>
  </si>
  <si>
    <t>Transaction ID</t>
  </si>
  <si>
    <t>Date</t>
  </si>
  <si>
    <t>Description</t>
  </si>
  <si>
    <t>Credit (SAR)</t>
  </si>
  <si>
    <t>Debit (SAR)</t>
  </si>
  <si>
    <t>Net (SAR)</t>
  </si>
  <si>
    <t>Bank Transactions</t>
  </si>
  <si>
    <t>Transactions</t>
  </si>
  <si>
    <t>Total Credits</t>
  </si>
  <si>
    <t>Total Debits</t>
  </si>
  <si>
    <t>Net Movement</t>
  </si>
  <si>
    <t>Credit / Debit Txns</t>
  </si>
  <si>
    <t>Opening Balance</t>
  </si>
  <si>
    <t>Balance (SAR)</t>
  </si>
  <si>
    <t>Balance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</si>
</sst>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#,##0.00;\(#,##0.00\);&quot;-&quot;"/>
    <numFmt numFmtId="166" formatCode="&quot;SAR &quot;#,##0.00"/>
  </numFmts>
  <fonts count="31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1"/>
      <color rgb="FF0000FF"/>
      <name val="Arial"/>
      <scheme val="minor"/>
    </font>
    <font>
      <b/>
      <sz val="18"/>
      <color rgb="FF1F3864"/>
      <name val="Arial"/>
      <scheme val="minor"/>
    </font>
    <font>
      <i/>
      <sz val="10"/>
      <color rgb="FF595959"/>
      <name val="Arial"/>
      <scheme val="minor"/>
    </font>
    <font>
      <b/>
      <sz val="9"/>
      <color rgb="FF1F3864"/>
      <name val="Arial"/>
      <scheme val="minor"/>
    </font>
    <font>
      <sz val="10"/>
      <color rgb="FF00703C"/>
      <name val="Arial"/>
      <scheme val="minor"/>
    </font>
    <font>
      <sz val="10"/>
      <color rgb="FFC00000"/>
      <name val="Arial"/>
      <scheme val="minor"/>
    </font>
    <font>
      <b/>
      <sz val="12"/>
      <color rgb="FF000000"/>
      <name val="Arial"/>
      <scheme val="minor"/>
    </font>
    <font>
      <b/>
      <sz val="12"/>
      <color rgb="FF00703C"/>
      <name val="Arial"/>
      <scheme val="minor"/>
    </font>
    <font>
      <b/>
      <sz val="12"/>
      <color rgb="FFC00000"/>
      <name val="Arial"/>
      <scheme val="minor"/>
    </font>
    <font>
      <b/>
      <sz val="12"/>
      <color rgb="FF0000FF"/>
      <name val="Arial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 style="thick">
        <color rgb="FFFFFFFF"/>
      </right>
      <top/>
      <bottom style="thick">
        <color rgb="FFFFFFFF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8" fillId="0" borderId="0" xfId="0" applyFont="1"/>
    <xf numFmtId="0" fontId="19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164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5" fontId="19" fillId="0" borderId="0" xfId="0" applyNumberFormat="1" applyFont="1" applyAlignment="1">
      <alignment vertical="center"/>
    </xf>
    <xf numFmtId="0" fontId="20" fillId="0" borderId="0" xfId="0" applyFont="1" applyAlignment="1">
      <alignment horizontal="left" vertical="center"/>
    </xf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33" borderId="10" xfId="0" applyFont="1" applyFill="1" applyBorder="1" applyAlignment="1">
      <alignment horizontal="center"/>
    </xf>
    <xf numFmtId="165" fontId="25" fillId="0" borderId="0" xfId="0" applyNumberFormat="1" applyFont="1" applyAlignment="1">
      <alignment vertical="center"/>
    </xf>
    <xf numFmtId="165" fontId="26" fillId="0" borderId="0" xfId="0" applyNumberFormat="1" applyFont="1" applyAlignment="1">
      <alignment vertical="center"/>
    </xf>
    <xf numFmtId="4" fontId="28" fillId="34" borderId="11" xfId="0" applyNumberFormat="1" applyFont="1" applyFill="1" applyBorder="1" applyAlignment="1">
      <alignment horizontal="center" vertical="center"/>
    </xf>
    <xf numFmtId="4" fontId="29" fillId="34" borderId="11" xfId="0" applyNumberFormat="1" applyFont="1" applyFill="1" applyBorder="1" applyAlignment="1">
      <alignment horizontal="center" vertical="center"/>
    </xf>
    <xf numFmtId="3" fontId="27" fillId="34" borderId="11" xfId="0" applyNumberFormat="1" applyFont="1" applyFill="1" applyBorder="1" applyAlignment="1">
      <alignment horizontal="center" vertical="center"/>
    </xf>
    <xf numFmtId="165" fontId="27" fillId="34" borderId="11" xfId="0" applyNumberFormat="1" applyFont="1" applyFill="1" applyBorder="1" applyAlignment="1">
      <alignment horizontal="center" vertical="center"/>
    </xf>
    <xf numFmtId="0" fontId="27" fillId="34" borderId="11" xfId="0" applyFont="1" applyFill="1" applyBorder="1" applyAlignment="1">
      <alignment horizontal="center" vertical="center"/>
    </xf>
    <xf numFmtId="165" fontId="19" fillId="0" borderId="0" xfId="0" applyNumberFormat="1" applyFont="1" applyAlignment="1">
      <alignment horizontal="center" vertical="center"/>
    </xf>
    <xf numFmtId="166" fontId="30" fillId="34" borderId="11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right"/>
    </xf>
    <xf numFmtId="165" fontId="20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font>
        <color rgb="FFC00000"/>
      </font>
    </dxf>
    <dxf>
      <font>
        <color rgb="FFC00000"/>
      </font>
    </dxf>
    <dxf>
      <font>
        <color rgb="FF0000FF"/>
        <name val="Arial"/>
      </font>
    </dxf>
    <dxf>
      <font>
        <color rgb="FF0000FF"/>
        <name val="Arial"/>
      </font>
    </dxf>
    <dxf>
      <font>
        <color rgb="FF0000FF"/>
        <name val="Arial"/>
      </font>
    </dxf>
    <dxf>
      <font>
        <name val="Arial"/>
      </font>
    </dxf>
    <dxf>
      <font>
        <sz val="10"/>
        <name val="Arial"/>
      </font>
      <numFmt numFmtId="165" formatCode="#,##0.00;\(#,##0.00\);&quot;-&quot;"/>
      <alignment vertical="center"/>
    </dxf>
    <dxf>
      <font>
        <sz val="10"/>
        <name val="Arial"/>
      </font>
      <numFmt numFmtId="165" formatCode="#,##0.00;\(#,##0.00\);&quot;-&quot;"/>
      <alignment vertical="center"/>
    </dxf>
    <dxf>
      <font>
        <sz val="10"/>
        <name val="Arial"/>
      </font>
      <numFmt numFmtId="165" formatCode="#,##0.00;\(#,##0.00\);&quot;-&quot;"/>
      <alignment horizontal="center" vertical="center"/>
    </dxf>
    <dxf>
      <font>
        <sz val="10"/>
        <color rgb="FFC00000"/>
        <name val="Arial"/>
      </font>
      <numFmt numFmtId="165" formatCode="#,##0.00;\(#,##0.00\);&quot;-&quot;"/>
      <alignment vertical="center"/>
    </dxf>
    <dxf>
      <font>
        <sz val="10"/>
        <color rgb="FF00703C"/>
        <name val="Arial"/>
      </font>
      <numFmt numFmtId="165" formatCode="#,##0.00;\(#,##0.00\);&quot;-&quot;"/>
      <alignment vertical="center"/>
    </dxf>
    <dxf>
      <font>
        <sz val="10"/>
        <name val="Arial"/>
      </font>
      <alignment vertical="center"/>
    </dxf>
    <dxf>
      <font>
        <sz val="10"/>
        <name val="Arial"/>
      </font>
      <numFmt numFmtId="164" formatCode="dd\-mmm\-yyyy"/>
      <alignment horizontal="center" vertical="center"/>
    </dxf>
    <dxf>
      <font>
        <sz val="10"/>
        <name val="Arial"/>
      </font>
      <alignment horizontal="center" vertical="center"/>
    </dxf>
    <dxf>
      <font>
        <sz val="10"/>
        <name val="Arial"/>
      </font>
      <alignment vertical="center"/>
    </dxf>
    <dxf>
      <font>
        <b/>
        <sz val="10"/>
        <name val="Arial"/>
      </font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DE54E8-3D22-4693-92D3-FD09064DDA83}" name="BankTransactions" displayName="BankTransactions" ref="A7:H828" totalsRowShown="0" headerRowDxfId="15" dataDxfId="14">
  <autoFilter ref="A7:H828" xr:uid="{0EDE54E8-3D22-4693-92D3-FD09064DDA83}"/>
  <tableColumns count="8">
    <tableColumn id="1" xr3:uid="{2CAF8424-2329-4CBA-8DD3-33C8318D7BB5}" name="Transaction ID" dataDxfId="13"/>
    <tableColumn id="2" xr3:uid="{4815773E-6988-4404-81BF-C8A131AA3476}" name="Date" dataDxfId="12"/>
    <tableColumn id="3" xr3:uid="{43D65CF8-B7F1-4C33-8B75-A4F6E04860B7}" name="Description" dataDxfId="11"/>
    <tableColumn id="4" xr3:uid="{0B97F819-EF43-47A9-80CA-ADF6875FA9EC}" name="Credit (SAR)" dataDxfId="10"/>
    <tableColumn id="5" xr3:uid="{D95668B0-2F0D-4835-A3EC-515F54FD3006}" name="Debit (SAR)" dataDxfId="9"/>
    <tableColumn id="6" xr3:uid="{3CE22B23-D110-4BFF-9F3B-92D8AB6A85C9}" name="Category" dataDxfId="8">
      <calculatedColumnFormula array="1">IFERROR(LOOKUP(2^15,SEARCH(CategoryMap[Keyword],BankTransactions[[#This Row],[Description]]),CategoryMap[Category]),"Other")</calculatedColumnFormula>
    </tableColumn>
    <tableColumn id="7" xr3:uid="{107730AF-DDE3-420A-BFA9-B838D88686F6}" name="Net (SAR)" dataDxfId="7">
      <calculatedColumnFormula>BankTransactions[[#This Row],[Credit (SAR)]]-BankTransactions[[#This Row],[Debit (SAR)]]</calculatedColumnFormula>
    </tableColumn>
    <tableColumn id="8" xr3:uid="{0B777B76-D557-4B57-87AA-C615ABBC78BB}" name="Balance (SAR)" dataDxfId="6">
      <calculatedColumnFormula>SUM(INDEX(BankTransactions[Net (SAR)],1):BankTransactions[[#This Row],[Net (SAR)]])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4D0AAC-CE29-4A80-8B1E-3A490BA6E450}" name="CategoryMap" displayName="CategoryMap" ref="A1:B8" totalsRowShown="0" headerRowDxfId="5" dataDxfId="4">
  <autoFilter ref="A1:B8" xr:uid="{D54D0AAC-CE29-4A80-8B1E-3A490BA6E450}"/>
  <tableColumns count="2">
    <tableColumn id="1" xr3:uid="{5182C0DA-5480-4055-818A-6B1C6118857B}" name="Keyword" dataDxfId="3"/>
    <tableColumn id="2" xr3:uid="{9FD30430-9DE9-477D-A080-90DD4D0136E3}" name="Categor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50A621A-4DBD-4333-87A2-B1F3D1F8345D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070d4dcc-e3d4-4d70-bf17-ebd15c8077b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F5FA2-69AD-4A03-A95B-C078C9416BC0}">
  <dimension ref="A1:H828"/>
  <sheetViews>
    <sheetView showGridLines="0" tabSelected="1" topLeftCell="C1" zoomScale="115" zoomScaleNormal="115" workbookViewId="0">
      <pane ySplit="7" topLeftCell="A35" activePane="bottomLeft" state="frozen"/>
      <selection pane="bottomLeft" activeCell="C5" sqref="C5"/>
    </sheetView>
  </sheetViews>
  <sheetFormatPr defaultRowHeight="14.25" x14ac:dyDescent="0.2"/>
  <cols>
    <col min="1" max="1" width="15.875" customWidth="1"/>
    <col min="2" max="2" width="14.125" customWidth="1"/>
    <col min="3" max="3" width="55" customWidth="1"/>
    <col min="4" max="5" width="18.375" customWidth="1"/>
    <col min="6" max="6" width="20" customWidth="1"/>
    <col min="7" max="7" width="20.875" customWidth="1"/>
    <col min="8" max="8" width="24.125" customWidth="1"/>
  </cols>
  <sheetData>
    <row r="1" spans="1:8" ht="30" customHeight="1" x14ac:dyDescent="0.35">
      <c r="A1" s="9" t="s">
        <v>1255</v>
      </c>
    </row>
    <row r="2" spans="1:8" x14ac:dyDescent="0.2">
      <c r="A2" s="10" t="str">
        <f>"Period: "&amp;TEXT(MIN(BankTransactions[Date]),"dd-mmm-yyyy")&amp;" to "&amp;TEXT(MAX(BankTransactions[Date]),"dd-mmm-yyyy")&amp;"   |   All amounts in SAR"</f>
        <v>Period: 01-Oct-2025 to 14-Oct-2026   |   All amounts in SAR</v>
      </c>
    </row>
    <row r="3" spans="1:8" ht="15" thickBot="1" x14ac:dyDescent="0.25"/>
    <row r="4" spans="1:8" ht="18" customHeight="1" thickTop="1" x14ac:dyDescent="0.2">
      <c r="B4" s="11" t="s">
        <v>1261</v>
      </c>
      <c r="D4" s="11" t="s">
        <v>1257</v>
      </c>
      <c r="E4" s="11" t="s">
        <v>1258</v>
      </c>
      <c r="F4" s="11" t="s">
        <v>1256</v>
      </c>
      <c r="G4" s="11" t="s">
        <v>1259</v>
      </c>
      <c r="H4" s="11" t="s">
        <v>1260</v>
      </c>
    </row>
    <row r="5" spans="1:8" ht="26.1" customHeight="1" thickBot="1" x14ac:dyDescent="0.25">
      <c r="B5" s="20">
        <v>2500000</v>
      </c>
      <c r="D5" s="14">
        <f>SUM(BankTransactions[Credit (SAR)])</f>
        <v>6553910.6600000085</v>
      </c>
      <c r="E5" s="15">
        <f>SUM(BankTransactions[Debit (SAR)])</f>
        <v>5822566.0599999987</v>
      </c>
      <c r="F5" s="16">
        <f>ROWS(BankTransactions[Transaction ID])</f>
        <v>821</v>
      </c>
      <c r="G5" s="17">
        <f>D5-E5</f>
        <v>731344.60000000987</v>
      </c>
      <c r="H5" s="18" t="str">
        <f>COUNTIF(BankTransactions[Credit (SAR)],"&gt;0")&amp;" / "&amp;COUNTIF(BankTransactions[Debit (SAR)],"&gt;0")</f>
        <v>599 / 220</v>
      </c>
    </row>
    <row r="6" spans="1:8" ht="15" thickTop="1" x14ac:dyDescent="0.2">
      <c r="G6" s="21" t="s">
        <v>1263</v>
      </c>
      <c r="H6" s="22" cm="1">
        <f t="array" ref="H6">ROUND(Opening+SUM(BankTransactions[Credit (SAR)])-SUM(BankTransactions[Debit (SAR)])-INDEX(BankTransactions[Balance (SAR)],ROWS(BankTransactions[Balance (SAR)])),2)</f>
        <v>0</v>
      </c>
    </row>
    <row r="7" spans="1:8" ht="24" customHeight="1" x14ac:dyDescent="0.2">
      <c r="A7" s="3" t="s">
        <v>1249</v>
      </c>
      <c r="B7" s="3" t="s">
        <v>1250</v>
      </c>
      <c r="C7" s="7" t="s">
        <v>1251</v>
      </c>
      <c r="D7" s="3" t="s">
        <v>1252</v>
      </c>
      <c r="E7" s="3" t="s">
        <v>1253</v>
      </c>
      <c r="F7" s="3" t="s">
        <v>1238</v>
      </c>
      <c r="G7" s="3" t="s">
        <v>1254</v>
      </c>
      <c r="H7" s="3" t="s">
        <v>1262</v>
      </c>
    </row>
    <row r="8" spans="1:8" x14ac:dyDescent="0.2">
      <c r="A8" s="5" t="s">
        <v>0</v>
      </c>
      <c r="B8" s="4">
        <v>45931</v>
      </c>
      <c r="C8" s="2" t="s">
        <v>1</v>
      </c>
      <c r="D8" s="12">
        <v>0</v>
      </c>
      <c r="E8" s="13">
        <v>38000</v>
      </c>
      <c r="F8" s="19" t="str" cm="1">
        <f t="array" ref="F8">IFERROR(LOOKUP(2^15,SEARCH(CategoryMap[Keyword],BankTransactions[[#This Row],[Description]]),CategoryMap[Category]),"Other")</f>
        <v>Rent</v>
      </c>
      <c r="G8" s="6">
        <f>BankTransactions[[#This Row],[Credit (SAR)]]-BankTransactions[[#This Row],[Debit (SAR)]]</f>
        <v>-38000</v>
      </c>
      <c r="H8" s="6">
        <f>Opening+BankTransactions[[#This Row],[Net (SAR)]]</f>
        <v>2462000</v>
      </c>
    </row>
    <row r="9" spans="1:8" x14ac:dyDescent="0.2">
      <c r="A9" s="5" t="s">
        <v>2</v>
      </c>
      <c r="B9" s="4">
        <v>45931</v>
      </c>
      <c r="C9" s="2" t="s">
        <v>3</v>
      </c>
      <c r="D9" s="12">
        <v>0</v>
      </c>
      <c r="E9" s="13">
        <v>7029.64</v>
      </c>
      <c r="F9" s="19" t="str" cm="1">
        <f t="array" ref="F9">IFERROR(LOOKUP(2^15,SEARCH(CategoryMap[Keyword],BankTransactions[[#This Row],[Description]]),CategoryMap[Category]),"Other")</f>
        <v>Supplier Payments</v>
      </c>
      <c r="G9" s="6">
        <f>BankTransactions[[#This Row],[Credit (SAR)]]-BankTransactions[[#This Row],[Debit (SAR)]]</f>
        <v>-7029.64</v>
      </c>
      <c r="H9" s="6">
        <f>Opening+SUM(INDEX(BankTransactions[Net (SAR)],1):BankTransactions[[#This Row],[Net (SAR)]])</f>
        <v>2454970.36</v>
      </c>
    </row>
    <row r="10" spans="1:8" x14ac:dyDescent="0.2">
      <c r="A10" s="5" t="s">
        <v>4</v>
      </c>
      <c r="B10" s="4">
        <v>45933</v>
      </c>
      <c r="C10" s="2" t="s">
        <v>3</v>
      </c>
      <c r="D10" s="12">
        <v>0</v>
      </c>
      <c r="E10" s="13">
        <v>16323.14</v>
      </c>
      <c r="F10" s="19" t="str" cm="1">
        <f t="array" ref="F10">IFERROR(LOOKUP(2^15,SEARCH(CategoryMap[Keyword],BankTransactions[[#This Row],[Description]]),CategoryMap[Category]),"Other")</f>
        <v>Supplier Payments</v>
      </c>
      <c r="G10" s="6">
        <f>BankTransactions[[#This Row],[Credit (SAR)]]-BankTransactions[[#This Row],[Debit (SAR)]]</f>
        <v>-16323.14</v>
      </c>
      <c r="H10" s="6">
        <f>Opening+SUM(INDEX(BankTransactions[Net (SAR)],1):BankTransactions[[#This Row],[Net (SAR)]])</f>
        <v>2438647.2200000002</v>
      </c>
    </row>
    <row r="11" spans="1:8" x14ac:dyDescent="0.2">
      <c r="A11" s="5" t="s">
        <v>5</v>
      </c>
      <c r="B11" s="4">
        <v>45934</v>
      </c>
      <c r="C11" s="2" t="s">
        <v>3</v>
      </c>
      <c r="D11" s="12">
        <v>0</v>
      </c>
      <c r="E11" s="13">
        <v>14729.1</v>
      </c>
      <c r="F11" s="19" t="str" cm="1">
        <f t="array" ref="F11">IFERROR(LOOKUP(2^15,SEARCH(CategoryMap[Keyword],BankTransactions[[#This Row],[Description]]),CategoryMap[Category]),"Other")</f>
        <v>Supplier Payments</v>
      </c>
      <c r="G11" s="6">
        <f>BankTransactions[[#This Row],[Credit (SAR)]]-BankTransactions[[#This Row],[Debit (SAR)]]</f>
        <v>-14729.1</v>
      </c>
      <c r="H11" s="6">
        <f>Opening+SUM(INDEX(BankTransactions[Net (SAR)],1):BankTransactions[[#This Row],[Net (SAR)]])</f>
        <v>2423918.12</v>
      </c>
    </row>
    <row r="12" spans="1:8" x14ac:dyDescent="0.2">
      <c r="A12" s="5" t="s">
        <v>6</v>
      </c>
      <c r="B12" s="4">
        <v>45937</v>
      </c>
      <c r="C12" s="2" t="s">
        <v>7</v>
      </c>
      <c r="D12" s="12">
        <v>0</v>
      </c>
      <c r="E12" s="13">
        <v>18835.900000000001</v>
      </c>
      <c r="F12" s="19" t="str" cm="1">
        <f t="array" ref="F12">IFERROR(LOOKUP(2^15,SEARCH(CategoryMap[Keyword],BankTransactions[[#This Row],[Description]]),CategoryMap[Category]),"Other")</f>
        <v>Supplier Payments</v>
      </c>
      <c r="G12" s="6">
        <f>BankTransactions[[#This Row],[Credit (SAR)]]-BankTransactions[[#This Row],[Debit (SAR)]]</f>
        <v>-18835.900000000001</v>
      </c>
      <c r="H12" s="6">
        <f>Opening+SUM(INDEX(BankTransactions[Net (SAR)],1):BankTransactions[[#This Row],[Net (SAR)]])</f>
        <v>2405082.2200000002</v>
      </c>
    </row>
    <row r="13" spans="1:8" x14ac:dyDescent="0.2">
      <c r="A13" s="5" t="s">
        <v>8</v>
      </c>
      <c r="B13" s="4">
        <v>45939</v>
      </c>
      <c r="C13" s="2" t="s">
        <v>7</v>
      </c>
      <c r="D13" s="12">
        <v>0</v>
      </c>
      <c r="E13" s="13">
        <v>34533.370000000003</v>
      </c>
      <c r="F13" s="19" t="str" cm="1">
        <f t="array" ref="F13">IFERROR(LOOKUP(2^15,SEARCH(CategoryMap[Keyword],BankTransactions[[#This Row],[Description]]),CategoryMap[Category]),"Other")</f>
        <v>Supplier Payments</v>
      </c>
      <c r="G13" s="6">
        <f>BankTransactions[[#This Row],[Credit (SAR)]]-BankTransactions[[#This Row],[Debit (SAR)]]</f>
        <v>-34533.370000000003</v>
      </c>
      <c r="H13" s="6">
        <f>Opening+SUM(INDEX(BankTransactions[Net (SAR)],1):BankTransactions[[#This Row],[Net (SAR)]])</f>
        <v>2370548.85</v>
      </c>
    </row>
    <row r="14" spans="1:8" x14ac:dyDescent="0.2">
      <c r="A14" s="5" t="s">
        <v>9</v>
      </c>
      <c r="B14" s="4">
        <v>45942</v>
      </c>
      <c r="C14" s="2" t="s">
        <v>10</v>
      </c>
      <c r="D14" s="12">
        <v>0</v>
      </c>
      <c r="E14" s="13">
        <v>28002.86</v>
      </c>
      <c r="F14" s="19" t="str" cm="1">
        <f t="array" ref="F14">IFERROR(LOOKUP(2^15,SEARCH(CategoryMap[Keyword],BankTransactions[[#This Row],[Description]]),CategoryMap[Category]),"Other")</f>
        <v>Fuel &amp; Logistics</v>
      </c>
      <c r="G14" s="6">
        <f>BankTransactions[[#This Row],[Credit (SAR)]]-BankTransactions[[#This Row],[Debit (SAR)]]</f>
        <v>-28002.86</v>
      </c>
      <c r="H14" s="6">
        <f>Opening+SUM(INDEX(BankTransactions[Net (SAR)],1):BankTransactions[[#This Row],[Net (SAR)]])</f>
        <v>2342545.9900000002</v>
      </c>
    </row>
    <row r="15" spans="1:8" x14ac:dyDescent="0.2">
      <c r="A15" s="5" t="s">
        <v>11</v>
      </c>
      <c r="B15" s="4">
        <v>45943</v>
      </c>
      <c r="C15" s="2" t="s">
        <v>12</v>
      </c>
      <c r="D15" s="12">
        <v>30282.81</v>
      </c>
      <c r="E15" s="13">
        <v>0</v>
      </c>
      <c r="F15" s="19" t="str" cm="1">
        <f t="array" ref="F15">IFERROR(LOOKUP(2^15,SEARCH(CategoryMap[Keyword],BankTransactions[[#This Row],[Description]]),CategoryMap[Category]),"Other")</f>
        <v>Cash Deposits</v>
      </c>
      <c r="G15" s="6">
        <f>BankTransactions[[#This Row],[Credit (SAR)]]-BankTransactions[[#This Row],[Debit (SAR)]]</f>
        <v>30282.81</v>
      </c>
      <c r="H15" s="6">
        <f>Opening+SUM(INDEX(BankTransactions[Net (SAR)],1):BankTransactions[[#This Row],[Net (SAR)]])</f>
        <v>2372828.7999999998</v>
      </c>
    </row>
    <row r="16" spans="1:8" x14ac:dyDescent="0.2">
      <c r="A16" s="5" t="s">
        <v>13</v>
      </c>
      <c r="B16" s="4">
        <v>45944</v>
      </c>
      <c r="C16" s="2" t="s">
        <v>12</v>
      </c>
      <c r="D16" s="12">
        <v>8408.8700000000008</v>
      </c>
      <c r="E16" s="13">
        <v>0</v>
      </c>
      <c r="F16" s="19" t="str" cm="1">
        <f t="array" ref="F16">IFERROR(LOOKUP(2^15,SEARCH(CategoryMap[Keyword],BankTransactions[[#This Row],[Description]]),CategoryMap[Category]),"Other")</f>
        <v>Cash Deposits</v>
      </c>
      <c r="G16" s="6">
        <f>BankTransactions[[#This Row],[Credit (SAR)]]-BankTransactions[[#This Row],[Debit (SAR)]]</f>
        <v>8408.8700000000008</v>
      </c>
      <c r="H16" s="6">
        <f>Opening+SUM(INDEX(BankTransactions[Net (SAR)],1):BankTransactions[[#This Row],[Net (SAR)]])</f>
        <v>2381237.67</v>
      </c>
    </row>
    <row r="17" spans="1:8" x14ac:dyDescent="0.2">
      <c r="A17" s="5" t="s">
        <v>14</v>
      </c>
      <c r="B17" s="4">
        <v>45945</v>
      </c>
      <c r="C17" s="2" t="s">
        <v>3</v>
      </c>
      <c r="D17" s="12">
        <v>0</v>
      </c>
      <c r="E17" s="13">
        <v>50539.82</v>
      </c>
      <c r="F17" s="19" t="str" cm="1">
        <f t="array" ref="F17">IFERROR(LOOKUP(2^15,SEARCH(CategoryMap[Keyword],BankTransactions[[#This Row],[Description]]),CategoryMap[Category]),"Other")</f>
        <v>Supplier Payments</v>
      </c>
      <c r="G17" s="6">
        <f>BankTransactions[[#This Row],[Credit (SAR)]]-BankTransactions[[#This Row],[Debit (SAR)]]</f>
        <v>-50539.82</v>
      </c>
      <c r="H17" s="6">
        <f>Opening+SUM(INDEX(BankTransactions[Net (SAR)],1):BankTransactions[[#This Row],[Net (SAR)]])</f>
        <v>2330697.85</v>
      </c>
    </row>
    <row r="18" spans="1:8" x14ac:dyDescent="0.2">
      <c r="A18" s="5" t="s">
        <v>15</v>
      </c>
      <c r="B18" s="4">
        <v>45945</v>
      </c>
      <c r="C18" s="2" t="s">
        <v>12</v>
      </c>
      <c r="D18" s="12">
        <v>21716.84</v>
      </c>
      <c r="E18" s="13">
        <v>0</v>
      </c>
      <c r="F18" s="19" t="str" cm="1">
        <f t="array" ref="F18">IFERROR(LOOKUP(2^15,SEARCH(CategoryMap[Keyword],BankTransactions[[#This Row],[Description]]),CategoryMap[Category]),"Other")</f>
        <v>Cash Deposits</v>
      </c>
      <c r="G18" s="6">
        <f>BankTransactions[[#This Row],[Credit (SAR)]]-BankTransactions[[#This Row],[Debit (SAR)]]</f>
        <v>21716.84</v>
      </c>
      <c r="H18" s="6">
        <f>Opening+SUM(INDEX(BankTransactions[Net (SAR)],1):BankTransactions[[#This Row],[Net (SAR)]])</f>
        <v>2352414.69</v>
      </c>
    </row>
    <row r="19" spans="1:8" x14ac:dyDescent="0.2">
      <c r="A19" s="5" t="s">
        <v>16</v>
      </c>
      <c r="B19" s="4">
        <v>45948</v>
      </c>
      <c r="C19" s="2" t="s">
        <v>17</v>
      </c>
      <c r="D19" s="12">
        <v>1211.6600000000001</v>
      </c>
      <c r="E19" s="13">
        <v>0</v>
      </c>
      <c r="F19" s="19" t="str" cm="1">
        <f t="array" ref="F19">IFERROR(LOOKUP(2^15,SEARCH(CategoryMap[Keyword],BankTransactions[[#This Row],[Description]]),CategoryMap[Category]),"Other")</f>
        <v>Customer Receipts</v>
      </c>
      <c r="G19" s="6">
        <f>BankTransactions[[#This Row],[Credit (SAR)]]-BankTransactions[[#This Row],[Debit (SAR)]]</f>
        <v>1211.6600000000001</v>
      </c>
      <c r="H19" s="6">
        <f>Opening+SUM(INDEX(BankTransactions[Net (SAR)],1):BankTransactions[[#This Row],[Net (SAR)]])</f>
        <v>2353626.35</v>
      </c>
    </row>
    <row r="20" spans="1:8" x14ac:dyDescent="0.2">
      <c r="A20" s="5" t="s">
        <v>18</v>
      </c>
      <c r="B20" s="4">
        <v>45949</v>
      </c>
      <c r="C20" s="2" t="s">
        <v>10</v>
      </c>
      <c r="D20" s="12">
        <v>0</v>
      </c>
      <c r="E20" s="13">
        <v>8673.9</v>
      </c>
      <c r="F20" s="19" t="str" cm="1">
        <f t="array" ref="F20">IFERROR(LOOKUP(2^15,SEARCH(CategoryMap[Keyword],BankTransactions[[#This Row],[Description]]),CategoryMap[Category]),"Other")</f>
        <v>Fuel &amp; Logistics</v>
      </c>
      <c r="G20" s="6">
        <f>BankTransactions[[#This Row],[Credit (SAR)]]-BankTransactions[[#This Row],[Debit (SAR)]]</f>
        <v>-8673.9</v>
      </c>
      <c r="H20" s="6">
        <f>Opening+SUM(INDEX(BankTransactions[Net (SAR)],1):BankTransactions[[#This Row],[Net (SAR)]])</f>
        <v>2344952.4500000002</v>
      </c>
    </row>
    <row r="21" spans="1:8" x14ac:dyDescent="0.2">
      <c r="A21" s="5" t="s">
        <v>19</v>
      </c>
      <c r="B21" s="4">
        <v>45952</v>
      </c>
      <c r="C21" s="2" t="s">
        <v>7</v>
      </c>
      <c r="D21" s="12">
        <v>0</v>
      </c>
      <c r="E21" s="13">
        <v>21410.54</v>
      </c>
      <c r="F21" s="19" t="str" cm="1">
        <f t="array" ref="F21">IFERROR(LOOKUP(2^15,SEARCH(CategoryMap[Keyword],BankTransactions[[#This Row],[Description]]),CategoryMap[Category]),"Other")</f>
        <v>Supplier Payments</v>
      </c>
      <c r="G21" s="6">
        <f>BankTransactions[[#This Row],[Credit (SAR)]]-BankTransactions[[#This Row],[Debit (SAR)]]</f>
        <v>-21410.54</v>
      </c>
      <c r="H21" s="6">
        <f>Opening+SUM(INDEX(BankTransactions[Net (SAR)],1):BankTransactions[[#This Row],[Net (SAR)]])</f>
        <v>2323541.91</v>
      </c>
    </row>
    <row r="22" spans="1:8" x14ac:dyDescent="0.2">
      <c r="A22" s="5" t="s">
        <v>20</v>
      </c>
      <c r="B22" s="4">
        <v>45954</v>
      </c>
      <c r="C22" s="2" t="s">
        <v>7</v>
      </c>
      <c r="D22" s="12">
        <v>0</v>
      </c>
      <c r="E22" s="13">
        <v>0</v>
      </c>
      <c r="F22" s="19" t="str" cm="1">
        <f t="array" ref="F22">IFERROR(LOOKUP(2^15,SEARCH(CategoryMap[Keyword],BankTransactions[[#This Row],[Description]]),CategoryMap[Category]),"Other")</f>
        <v>Supplier Payments</v>
      </c>
      <c r="G22" s="6">
        <f>BankTransactions[[#This Row],[Credit (SAR)]]-BankTransactions[[#This Row],[Debit (SAR)]]</f>
        <v>0</v>
      </c>
      <c r="H22" s="6">
        <f>Opening+SUM(INDEX(BankTransactions[Net (SAR)],1):BankTransactions[[#This Row],[Net (SAR)]])</f>
        <v>2323541.91</v>
      </c>
    </row>
    <row r="23" spans="1:8" x14ac:dyDescent="0.2">
      <c r="A23" s="5" t="s">
        <v>21</v>
      </c>
      <c r="B23" s="4">
        <v>45955</v>
      </c>
      <c r="C23" s="2" t="s">
        <v>22</v>
      </c>
      <c r="D23" s="12">
        <v>0</v>
      </c>
      <c r="E23" s="13">
        <v>64000</v>
      </c>
      <c r="F23" s="19" t="str" cm="1">
        <f t="array" ref="F23">IFERROR(LOOKUP(2^15,SEARCH(CategoryMap[Keyword],BankTransactions[[#This Row],[Description]]),CategoryMap[Category]),"Other")</f>
        <v>Payroll</v>
      </c>
      <c r="G23" s="6">
        <f>BankTransactions[[#This Row],[Credit (SAR)]]-BankTransactions[[#This Row],[Debit (SAR)]]</f>
        <v>-64000</v>
      </c>
      <c r="H23" s="6">
        <f>Opening+SUM(INDEX(BankTransactions[Net (SAR)],1):BankTransactions[[#This Row],[Net (SAR)]])</f>
        <v>2259541.91</v>
      </c>
    </row>
    <row r="24" spans="1:8" x14ac:dyDescent="0.2">
      <c r="A24" s="5" t="s">
        <v>23</v>
      </c>
      <c r="B24" s="4">
        <v>45955</v>
      </c>
      <c r="C24" s="2" t="s">
        <v>24</v>
      </c>
      <c r="D24" s="12">
        <v>0</v>
      </c>
      <c r="E24" s="13">
        <v>21000</v>
      </c>
      <c r="F24" s="19" t="str" cm="1">
        <f t="array" ref="F24">IFERROR(LOOKUP(2^15,SEARCH(CategoryMap[Keyword],BankTransactions[[#This Row],[Description]]),CategoryMap[Category]),"Other")</f>
        <v>Loan Repayments</v>
      </c>
      <c r="G24" s="6">
        <f>BankTransactions[[#This Row],[Credit (SAR)]]-BankTransactions[[#This Row],[Debit (SAR)]]</f>
        <v>-21000</v>
      </c>
      <c r="H24" s="6">
        <f>Opening+SUM(INDEX(BankTransactions[Net (SAR)],1):BankTransactions[[#This Row],[Net (SAR)]])</f>
        <v>2238541.91</v>
      </c>
    </row>
    <row r="25" spans="1:8" x14ac:dyDescent="0.2">
      <c r="A25" s="5" t="s">
        <v>25</v>
      </c>
      <c r="B25" s="4">
        <v>45955</v>
      </c>
      <c r="C25" s="2" t="s">
        <v>10</v>
      </c>
      <c r="D25" s="12">
        <v>0</v>
      </c>
      <c r="E25" s="13">
        <v>22110.33</v>
      </c>
      <c r="F25" s="19" t="str" cm="1">
        <f t="array" ref="F25">IFERROR(LOOKUP(2^15,SEARCH(CategoryMap[Keyword],BankTransactions[[#This Row],[Description]]),CategoryMap[Category]),"Other")</f>
        <v>Fuel &amp; Logistics</v>
      </c>
      <c r="G25" s="6">
        <f>BankTransactions[[#This Row],[Credit (SAR)]]-BankTransactions[[#This Row],[Debit (SAR)]]</f>
        <v>-22110.33</v>
      </c>
      <c r="H25" s="6">
        <f>Opening+SUM(INDEX(BankTransactions[Net (SAR)],1):BankTransactions[[#This Row],[Net (SAR)]])</f>
        <v>2216431.58</v>
      </c>
    </row>
    <row r="26" spans="1:8" x14ac:dyDescent="0.2">
      <c r="A26" s="5" t="s">
        <v>26</v>
      </c>
      <c r="B26" s="4">
        <v>45956</v>
      </c>
      <c r="C26" s="2" t="s">
        <v>7</v>
      </c>
      <c r="D26" s="12">
        <v>0</v>
      </c>
      <c r="E26" s="13">
        <v>8140.82</v>
      </c>
      <c r="F26" s="19" t="str" cm="1">
        <f t="array" ref="F26">IFERROR(LOOKUP(2^15,SEARCH(CategoryMap[Keyword],BankTransactions[[#This Row],[Description]]),CategoryMap[Category]),"Other")</f>
        <v>Supplier Payments</v>
      </c>
      <c r="G26" s="6">
        <f>BankTransactions[[#This Row],[Credit (SAR)]]-BankTransactions[[#This Row],[Debit (SAR)]]</f>
        <v>-8140.82</v>
      </c>
      <c r="H26" s="6">
        <f>Opening+SUM(INDEX(BankTransactions[Net (SAR)],1):BankTransactions[[#This Row],[Net (SAR)]])</f>
        <v>2208290.7599999998</v>
      </c>
    </row>
    <row r="27" spans="1:8" x14ac:dyDescent="0.2">
      <c r="A27" s="5" t="s">
        <v>27</v>
      </c>
      <c r="B27" s="4">
        <v>45956</v>
      </c>
      <c r="C27" s="2" t="s">
        <v>10</v>
      </c>
      <c r="D27" s="12">
        <v>0</v>
      </c>
      <c r="E27" s="13">
        <v>30044.57</v>
      </c>
      <c r="F27" s="19" t="str" cm="1">
        <f t="array" ref="F27">IFERROR(LOOKUP(2^15,SEARCH(CategoryMap[Keyword],BankTransactions[[#This Row],[Description]]),CategoryMap[Category]),"Other")</f>
        <v>Fuel &amp; Logistics</v>
      </c>
      <c r="G27" s="6">
        <f>BankTransactions[[#This Row],[Credit (SAR)]]-BankTransactions[[#This Row],[Debit (SAR)]]</f>
        <v>-30044.57</v>
      </c>
      <c r="H27" s="6">
        <f>Opening+SUM(INDEX(BankTransactions[Net (SAR)],1):BankTransactions[[#This Row],[Net (SAR)]])</f>
        <v>2178246.19</v>
      </c>
    </row>
    <row r="28" spans="1:8" x14ac:dyDescent="0.2">
      <c r="A28" s="5" t="s">
        <v>28</v>
      </c>
      <c r="B28" s="4">
        <v>45957</v>
      </c>
      <c r="C28" s="2" t="s">
        <v>29</v>
      </c>
      <c r="D28" s="12">
        <v>3504.03</v>
      </c>
      <c r="E28" s="13">
        <v>0</v>
      </c>
      <c r="F28" s="19" t="str" cm="1">
        <f t="array" ref="F28">IFERROR(LOOKUP(2^15,SEARCH(CategoryMap[Keyword],BankTransactions[[#This Row],[Description]]),CategoryMap[Category]),"Other")</f>
        <v>Customer Receipts</v>
      </c>
      <c r="G28" s="6">
        <f>BankTransactions[[#This Row],[Credit (SAR)]]-BankTransactions[[#This Row],[Debit (SAR)]]</f>
        <v>3504.03</v>
      </c>
      <c r="H28" s="6">
        <f>Opening+SUM(INDEX(BankTransactions[Net (SAR)],1):BankTransactions[[#This Row],[Net (SAR)]])</f>
        <v>2181750.2199999997</v>
      </c>
    </row>
    <row r="29" spans="1:8" x14ac:dyDescent="0.2">
      <c r="A29" s="5" t="s">
        <v>30</v>
      </c>
      <c r="B29" s="4">
        <v>45957</v>
      </c>
      <c r="C29" s="2" t="s">
        <v>12</v>
      </c>
      <c r="D29" s="12">
        <v>14202.72</v>
      </c>
      <c r="E29" s="13">
        <v>0</v>
      </c>
      <c r="F29" s="19" t="str" cm="1">
        <f t="array" ref="F29">IFERROR(LOOKUP(2^15,SEARCH(CategoryMap[Keyword],BankTransactions[[#This Row],[Description]]),CategoryMap[Category]),"Other")</f>
        <v>Cash Deposits</v>
      </c>
      <c r="G29" s="6">
        <f>BankTransactions[[#This Row],[Credit (SAR)]]-BankTransactions[[#This Row],[Debit (SAR)]]</f>
        <v>14202.72</v>
      </c>
      <c r="H29" s="6">
        <f>Opening+SUM(INDEX(BankTransactions[Net (SAR)],1):BankTransactions[[#This Row],[Net (SAR)]])</f>
        <v>2195952.94</v>
      </c>
    </row>
    <row r="30" spans="1:8" x14ac:dyDescent="0.2">
      <c r="A30" s="5" t="s">
        <v>31</v>
      </c>
      <c r="B30" s="4">
        <v>45958</v>
      </c>
      <c r="C30" s="2" t="s">
        <v>10</v>
      </c>
      <c r="D30" s="12">
        <v>0</v>
      </c>
      <c r="E30" s="13">
        <v>12244.9</v>
      </c>
      <c r="F30" s="19" t="str" cm="1">
        <f t="array" ref="F30">IFERROR(LOOKUP(2^15,SEARCH(CategoryMap[Keyword],BankTransactions[[#This Row],[Description]]),CategoryMap[Category]),"Other")</f>
        <v>Fuel &amp; Logistics</v>
      </c>
      <c r="G30" s="6">
        <f>BankTransactions[[#This Row],[Credit (SAR)]]-BankTransactions[[#This Row],[Debit (SAR)]]</f>
        <v>-12244.9</v>
      </c>
      <c r="H30" s="6">
        <f>Opening+SUM(INDEX(BankTransactions[Net (SAR)],1):BankTransactions[[#This Row],[Net (SAR)]])</f>
        <v>2183708.04</v>
      </c>
    </row>
    <row r="31" spans="1:8" x14ac:dyDescent="0.2">
      <c r="A31" s="5" t="s">
        <v>32</v>
      </c>
      <c r="B31" s="4">
        <v>45958</v>
      </c>
      <c r="C31" s="2" t="s">
        <v>10</v>
      </c>
      <c r="D31" s="12">
        <v>0</v>
      </c>
      <c r="E31" s="13">
        <v>0</v>
      </c>
      <c r="F31" s="19" t="str" cm="1">
        <f t="array" ref="F31">IFERROR(LOOKUP(2^15,SEARCH(CategoryMap[Keyword],BankTransactions[[#This Row],[Description]]),CategoryMap[Category]),"Other")</f>
        <v>Fuel &amp; Logistics</v>
      </c>
      <c r="G31" s="6">
        <f>BankTransactions[[#This Row],[Credit (SAR)]]-BankTransactions[[#This Row],[Debit (SAR)]]</f>
        <v>0</v>
      </c>
      <c r="H31" s="6">
        <f>Opening+SUM(INDEX(BankTransactions[Net (SAR)],1):BankTransactions[[#This Row],[Net (SAR)]])</f>
        <v>2183708.04</v>
      </c>
    </row>
    <row r="32" spans="1:8" x14ac:dyDescent="0.2">
      <c r="A32" s="5" t="s">
        <v>33</v>
      </c>
      <c r="B32" s="4">
        <v>45959</v>
      </c>
      <c r="C32" s="2" t="s">
        <v>34</v>
      </c>
      <c r="D32" s="12">
        <v>6437.1</v>
      </c>
      <c r="E32" s="13">
        <v>0</v>
      </c>
      <c r="F32" s="19" t="str" cm="1">
        <f t="array" ref="F32">IFERROR(LOOKUP(2^15,SEARCH(CategoryMap[Keyword],BankTransactions[[#This Row],[Description]]),CategoryMap[Category]),"Other")</f>
        <v>Customer Receipts</v>
      </c>
      <c r="G32" s="6">
        <f>BankTransactions[[#This Row],[Credit (SAR)]]-BankTransactions[[#This Row],[Debit (SAR)]]</f>
        <v>6437.1</v>
      </c>
      <c r="H32" s="6">
        <f>Opening+SUM(INDEX(BankTransactions[Net (SAR)],1):BankTransactions[[#This Row],[Net (SAR)]])</f>
        <v>2190145.1399999997</v>
      </c>
    </row>
    <row r="33" spans="1:8" x14ac:dyDescent="0.2">
      <c r="A33" s="5" t="s">
        <v>35</v>
      </c>
      <c r="B33" s="4">
        <v>45960</v>
      </c>
      <c r="C33" s="2" t="s">
        <v>36</v>
      </c>
      <c r="D33" s="12">
        <v>1944.09</v>
      </c>
      <c r="E33" s="13">
        <v>0</v>
      </c>
      <c r="F33" s="19" t="str" cm="1">
        <f t="array" ref="F33">IFERROR(LOOKUP(2^15,SEARCH(CategoryMap[Keyword],BankTransactions[[#This Row],[Description]]),CategoryMap[Category]),"Other")</f>
        <v>Customer Receipts</v>
      </c>
      <c r="G33" s="6">
        <f>BankTransactions[[#This Row],[Credit (SAR)]]-BankTransactions[[#This Row],[Debit (SAR)]]</f>
        <v>1944.09</v>
      </c>
      <c r="H33" s="6">
        <f>Opening+SUM(INDEX(BankTransactions[Net (SAR)],1):BankTransactions[[#This Row],[Net (SAR)]])</f>
        <v>2192089.23</v>
      </c>
    </row>
    <row r="34" spans="1:8" x14ac:dyDescent="0.2">
      <c r="A34" s="5" t="s">
        <v>37</v>
      </c>
      <c r="B34" s="4">
        <v>45960</v>
      </c>
      <c r="C34" s="2" t="s">
        <v>7</v>
      </c>
      <c r="D34" s="12">
        <v>0</v>
      </c>
      <c r="E34" s="13">
        <v>30418.78</v>
      </c>
      <c r="F34" s="19" t="str" cm="1">
        <f t="array" ref="F34">IFERROR(LOOKUP(2^15,SEARCH(CategoryMap[Keyword],BankTransactions[[#This Row],[Description]]),CategoryMap[Category]),"Other")</f>
        <v>Supplier Payments</v>
      </c>
      <c r="G34" s="6">
        <f>BankTransactions[[#This Row],[Credit (SAR)]]-BankTransactions[[#This Row],[Debit (SAR)]]</f>
        <v>-30418.78</v>
      </c>
      <c r="H34" s="6">
        <f>Opening+SUM(INDEX(BankTransactions[Net (SAR)],1):BankTransactions[[#This Row],[Net (SAR)]])</f>
        <v>2161670.4500000002</v>
      </c>
    </row>
    <row r="35" spans="1:8" x14ac:dyDescent="0.2">
      <c r="A35" s="5" t="s">
        <v>38</v>
      </c>
      <c r="B35" s="4">
        <v>45960</v>
      </c>
      <c r="C35" s="2" t="s">
        <v>12</v>
      </c>
      <c r="D35" s="12">
        <v>37580.58</v>
      </c>
      <c r="E35" s="13">
        <v>0</v>
      </c>
      <c r="F35" s="19" t="str" cm="1">
        <f t="array" ref="F35">IFERROR(LOOKUP(2^15,SEARCH(CategoryMap[Keyword],BankTransactions[[#This Row],[Description]]),CategoryMap[Category]),"Other")</f>
        <v>Cash Deposits</v>
      </c>
      <c r="G35" s="6">
        <f>BankTransactions[[#This Row],[Credit (SAR)]]-BankTransactions[[#This Row],[Debit (SAR)]]</f>
        <v>37580.58</v>
      </c>
      <c r="H35" s="6">
        <f>Opening+SUM(INDEX(BankTransactions[Net (SAR)],1):BankTransactions[[#This Row],[Net (SAR)]])</f>
        <v>2199251.0299999998</v>
      </c>
    </row>
    <row r="36" spans="1:8" x14ac:dyDescent="0.2">
      <c r="A36" s="5" t="s">
        <v>39</v>
      </c>
      <c r="B36" s="4">
        <v>45961</v>
      </c>
      <c r="C36" s="2" t="s">
        <v>7</v>
      </c>
      <c r="D36" s="12">
        <v>0</v>
      </c>
      <c r="E36" s="13">
        <v>5034.03</v>
      </c>
      <c r="F36" s="19" t="str" cm="1">
        <f t="array" ref="F36">IFERROR(LOOKUP(2^15,SEARCH(CategoryMap[Keyword],BankTransactions[[#This Row],[Description]]),CategoryMap[Category]),"Other")</f>
        <v>Supplier Payments</v>
      </c>
      <c r="G36" s="6">
        <f>BankTransactions[[#This Row],[Credit (SAR)]]-BankTransactions[[#This Row],[Debit (SAR)]]</f>
        <v>-5034.03</v>
      </c>
      <c r="H36" s="6">
        <f>Opening+SUM(INDEX(BankTransactions[Net (SAR)],1):BankTransactions[[#This Row],[Net (SAR)]])</f>
        <v>2194217</v>
      </c>
    </row>
    <row r="37" spans="1:8" x14ac:dyDescent="0.2">
      <c r="A37" s="5" t="s">
        <v>40</v>
      </c>
      <c r="B37" s="4">
        <v>45962</v>
      </c>
      <c r="C37" s="2" t="s">
        <v>1</v>
      </c>
      <c r="D37" s="12">
        <v>0</v>
      </c>
      <c r="E37" s="13">
        <v>38000</v>
      </c>
      <c r="F37" s="19" t="str" cm="1">
        <f t="array" ref="F37">IFERROR(LOOKUP(2^15,SEARCH(CategoryMap[Keyword],BankTransactions[[#This Row],[Description]]),CategoryMap[Category]),"Other")</f>
        <v>Rent</v>
      </c>
      <c r="G37" s="6">
        <f>BankTransactions[[#This Row],[Credit (SAR)]]-BankTransactions[[#This Row],[Debit (SAR)]]</f>
        <v>-38000</v>
      </c>
      <c r="H37" s="6">
        <f>Opening+SUM(INDEX(BankTransactions[Net (SAR)],1):BankTransactions[[#This Row],[Net (SAR)]])</f>
        <v>2156217</v>
      </c>
    </row>
    <row r="38" spans="1:8" x14ac:dyDescent="0.2">
      <c r="A38" s="5" t="s">
        <v>41</v>
      </c>
      <c r="B38" s="4">
        <v>45963</v>
      </c>
      <c r="C38" s="2" t="s">
        <v>42</v>
      </c>
      <c r="D38" s="12">
        <v>5394.1</v>
      </c>
      <c r="E38" s="13">
        <v>0</v>
      </c>
      <c r="F38" s="19" t="str" cm="1">
        <f t="array" ref="F38">IFERROR(LOOKUP(2^15,SEARCH(CategoryMap[Keyword],BankTransactions[[#This Row],[Description]]),CategoryMap[Category]),"Other")</f>
        <v>Customer Receipts</v>
      </c>
      <c r="G38" s="6">
        <f>BankTransactions[[#This Row],[Credit (SAR)]]-BankTransactions[[#This Row],[Debit (SAR)]]</f>
        <v>5394.1</v>
      </c>
      <c r="H38" s="6">
        <f>Opening+SUM(INDEX(BankTransactions[Net (SAR)],1):BankTransactions[[#This Row],[Net (SAR)]])</f>
        <v>2161611.1</v>
      </c>
    </row>
    <row r="39" spans="1:8" x14ac:dyDescent="0.2">
      <c r="A39" s="5" t="s">
        <v>43</v>
      </c>
      <c r="B39" s="4">
        <v>45963</v>
      </c>
      <c r="C39" s="2" t="s">
        <v>44</v>
      </c>
      <c r="D39" s="12">
        <v>5723.46</v>
      </c>
      <c r="E39" s="13">
        <v>0</v>
      </c>
      <c r="F39" s="19" t="str" cm="1">
        <f t="array" ref="F39">IFERROR(LOOKUP(2^15,SEARCH(CategoryMap[Keyword],BankTransactions[[#This Row],[Description]]),CategoryMap[Category]),"Other")</f>
        <v>Customer Receipts</v>
      </c>
      <c r="G39" s="6">
        <f>BankTransactions[[#This Row],[Credit (SAR)]]-BankTransactions[[#This Row],[Debit (SAR)]]</f>
        <v>5723.46</v>
      </c>
      <c r="H39" s="6">
        <f>Opening+SUM(INDEX(BankTransactions[Net (SAR)],1):BankTransactions[[#This Row],[Net (SAR)]])</f>
        <v>2167334.56</v>
      </c>
    </row>
    <row r="40" spans="1:8" x14ac:dyDescent="0.2">
      <c r="A40" s="5" t="s">
        <v>45</v>
      </c>
      <c r="B40" s="4">
        <v>45966</v>
      </c>
      <c r="C40" s="2" t="s">
        <v>46</v>
      </c>
      <c r="D40" s="12">
        <v>4351.58</v>
      </c>
      <c r="E40" s="13">
        <v>0</v>
      </c>
      <c r="F40" s="19" t="str" cm="1">
        <f t="array" ref="F40">IFERROR(LOOKUP(2^15,SEARCH(CategoryMap[Keyword],BankTransactions[[#This Row],[Description]]),CategoryMap[Category]),"Other")</f>
        <v>Customer Receipts</v>
      </c>
      <c r="G40" s="6">
        <f>BankTransactions[[#This Row],[Credit (SAR)]]-BankTransactions[[#This Row],[Debit (SAR)]]</f>
        <v>4351.58</v>
      </c>
      <c r="H40" s="6">
        <f>Opening+SUM(INDEX(BankTransactions[Net (SAR)],1):BankTransactions[[#This Row],[Net (SAR)]])</f>
        <v>2171686.14</v>
      </c>
    </row>
    <row r="41" spans="1:8" x14ac:dyDescent="0.2">
      <c r="A41" s="5" t="s">
        <v>47</v>
      </c>
      <c r="B41" s="4">
        <v>45966</v>
      </c>
      <c r="C41" s="2" t="s">
        <v>48</v>
      </c>
      <c r="D41" s="12">
        <v>1266.21</v>
      </c>
      <c r="E41" s="13">
        <v>0</v>
      </c>
      <c r="F41" s="19" t="str" cm="1">
        <f t="array" ref="F41">IFERROR(LOOKUP(2^15,SEARCH(CategoryMap[Keyword],BankTransactions[[#This Row],[Description]]),CategoryMap[Category]),"Other")</f>
        <v>Customer Receipts</v>
      </c>
      <c r="G41" s="6">
        <f>BankTransactions[[#This Row],[Credit (SAR)]]-BankTransactions[[#This Row],[Debit (SAR)]]</f>
        <v>1266.21</v>
      </c>
      <c r="H41" s="6">
        <f>Opening+SUM(INDEX(BankTransactions[Net (SAR)],1):BankTransactions[[#This Row],[Net (SAR)]])</f>
        <v>2172952.35</v>
      </c>
    </row>
    <row r="42" spans="1:8" x14ac:dyDescent="0.2">
      <c r="A42" s="5" t="s">
        <v>49</v>
      </c>
      <c r="B42" s="4">
        <v>45966</v>
      </c>
      <c r="C42" s="2" t="s">
        <v>50</v>
      </c>
      <c r="D42" s="12">
        <v>5422.43</v>
      </c>
      <c r="E42" s="13">
        <v>0</v>
      </c>
      <c r="F42" s="19" t="str" cm="1">
        <f t="array" ref="F42">IFERROR(LOOKUP(2^15,SEARCH(CategoryMap[Keyword],BankTransactions[[#This Row],[Description]]),CategoryMap[Category]),"Other")</f>
        <v>Customer Receipts</v>
      </c>
      <c r="G42" s="6">
        <f>BankTransactions[[#This Row],[Credit (SAR)]]-BankTransactions[[#This Row],[Debit (SAR)]]</f>
        <v>5422.43</v>
      </c>
      <c r="H42" s="6">
        <f>Opening+SUM(INDEX(BankTransactions[Net (SAR)],1):BankTransactions[[#This Row],[Net (SAR)]])</f>
        <v>2178374.7799999998</v>
      </c>
    </row>
    <row r="43" spans="1:8" x14ac:dyDescent="0.2">
      <c r="A43" s="5" t="s">
        <v>51</v>
      </c>
      <c r="B43" s="4">
        <v>45966</v>
      </c>
      <c r="C43" s="2" t="s">
        <v>10</v>
      </c>
      <c r="D43" s="12">
        <v>0</v>
      </c>
      <c r="E43" s="13">
        <v>11031.18</v>
      </c>
      <c r="F43" s="19" t="str" cm="1">
        <f t="array" ref="F43">IFERROR(LOOKUP(2^15,SEARCH(CategoryMap[Keyword],BankTransactions[[#This Row],[Description]]),CategoryMap[Category]),"Other")</f>
        <v>Fuel &amp; Logistics</v>
      </c>
      <c r="G43" s="6">
        <f>BankTransactions[[#This Row],[Credit (SAR)]]-BankTransactions[[#This Row],[Debit (SAR)]]</f>
        <v>-11031.18</v>
      </c>
      <c r="H43" s="6">
        <f>Opening+SUM(INDEX(BankTransactions[Net (SAR)],1):BankTransactions[[#This Row],[Net (SAR)]])</f>
        <v>2167343.6</v>
      </c>
    </row>
    <row r="44" spans="1:8" x14ac:dyDescent="0.2">
      <c r="A44" s="5" t="s">
        <v>52</v>
      </c>
      <c r="B44" s="4">
        <v>45967</v>
      </c>
      <c r="C44" s="2" t="s">
        <v>12</v>
      </c>
      <c r="D44" s="12">
        <v>8375.84</v>
      </c>
      <c r="E44" s="13">
        <v>0</v>
      </c>
      <c r="F44" s="19" t="str" cm="1">
        <f t="array" ref="F44">IFERROR(LOOKUP(2^15,SEARCH(CategoryMap[Keyword],BankTransactions[[#This Row],[Description]]),CategoryMap[Category]),"Other")</f>
        <v>Cash Deposits</v>
      </c>
      <c r="G44" s="6">
        <f>BankTransactions[[#This Row],[Credit (SAR)]]-BankTransactions[[#This Row],[Debit (SAR)]]</f>
        <v>8375.84</v>
      </c>
      <c r="H44" s="6">
        <f>Opening+SUM(INDEX(BankTransactions[Net (SAR)],1):BankTransactions[[#This Row],[Net (SAR)]])</f>
        <v>2175719.44</v>
      </c>
    </row>
    <row r="45" spans="1:8" x14ac:dyDescent="0.2">
      <c r="A45" s="5" t="s">
        <v>53</v>
      </c>
      <c r="B45" s="4">
        <v>45967</v>
      </c>
      <c r="C45" s="2" t="s">
        <v>12</v>
      </c>
      <c r="D45" s="12">
        <v>6227.83</v>
      </c>
      <c r="E45" s="13">
        <v>0</v>
      </c>
      <c r="F45" s="19" t="str" cm="1">
        <f t="array" ref="F45">IFERROR(LOOKUP(2^15,SEARCH(CategoryMap[Keyword],BankTransactions[[#This Row],[Description]]),CategoryMap[Category]),"Other")</f>
        <v>Cash Deposits</v>
      </c>
      <c r="G45" s="6">
        <f>BankTransactions[[#This Row],[Credit (SAR)]]-BankTransactions[[#This Row],[Debit (SAR)]]</f>
        <v>6227.83</v>
      </c>
      <c r="H45" s="6">
        <f>Opening+SUM(INDEX(BankTransactions[Net (SAR)],1):BankTransactions[[#This Row],[Net (SAR)]])</f>
        <v>2181947.27</v>
      </c>
    </row>
    <row r="46" spans="1:8" x14ac:dyDescent="0.2">
      <c r="A46" s="5" t="s">
        <v>54</v>
      </c>
      <c r="B46" s="4">
        <v>45968</v>
      </c>
      <c r="C46" s="2" t="s">
        <v>10</v>
      </c>
      <c r="D46" s="12">
        <v>7823.44</v>
      </c>
      <c r="E46" s="13">
        <v>12302.36</v>
      </c>
      <c r="F46" s="19" t="str" cm="1">
        <f t="array" ref="F46">IFERROR(LOOKUP(2^15,SEARCH(CategoryMap[Keyword],BankTransactions[[#This Row],[Description]]),CategoryMap[Category]),"Other")</f>
        <v>Fuel &amp; Logistics</v>
      </c>
      <c r="G46" s="6">
        <f>BankTransactions[[#This Row],[Credit (SAR)]]-BankTransactions[[#This Row],[Debit (SAR)]]</f>
        <v>-4478.920000000001</v>
      </c>
      <c r="H46" s="6">
        <f>Opening+SUM(INDEX(BankTransactions[Net (SAR)],1):BankTransactions[[#This Row],[Net (SAR)]])</f>
        <v>2177468.35</v>
      </c>
    </row>
    <row r="47" spans="1:8" x14ac:dyDescent="0.2">
      <c r="A47" s="5" t="s">
        <v>55</v>
      </c>
      <c r="B47" s="4">
        <v>45969</v>
      </c>
      <c r="C47" s="2" t="s">
        <v>56</v>
      </c>
      <c r="D47" s="12">
        <v>2620.75</v>
      </c>
      <c r="E47" s="13">
        <v>0</v>
      </c>
      <c r="F47" s="19" t="str" cm="1">
        <f t="array" ref="F47">IFERROR(LOOKUP(2^15,SEARCH(CategoryMap[Keyword],BankTransactions[[#This Row],[Description]]),CategoryMap[Category]),"Other")</f>
        <v>Customer Receipts</v>
      </c>
      <c r="G47" s="6">
        <f>BankTransactions[[#This Row],[Credit (SAR)]]-BankTransactions[[#This Row],[Debit (SAR)]]</f>
        <v>2620.75</v>
      </c>
      <c r="H47" s="6">
        <f>Opening+SUM(INDEX(BankTransactions[Net (SAR)],1):BankTransactions[[#This Row],[Net (SAR)]])</f>
        <v>2180089.1</v>
      </c>
    </row>
    <row r="48" spans="1:8" x14ac:dyDescent="0.2">
      <c r="A48" s="5" t="s">
        <v>57</v>
      </c>
      <c r="B48" s="4">
        <v>45969</v>
      </c>
      <c r="C48" s="2" t="s">
        <v>10</v>
      </c>
      <c r="D48" s="12">
        <v>0</v>
      </c>
      <c r="E48" s="13">
        <v>28505.24</v>
      </c>
      <c r="F48" s="19" t="str" cm="1">
        <f t="array" ref="F48">IFERROR(LOOKUP(2^15,SEARCH(CategoryMap[Keyword],BankTransactions[[#This Row],[Description]]),CategoryMap[Category]),"Other")</f>
        <v>Fuel &amp; Logistics</v>
      </c>
      <c r="G48" s="6">
        <f>BankTransactions[[#This Row],[Credit (SAR)]]-BankTransactions[[#This Row],[Debit (SAR)]]</f>
        <v>-28505.24</v>
      </c>
      <c r="H48" s="6">
        <f>Opening+SUM(INDEX(BankTransactions[Net (SAR)],1):BankTransactions[[#This Row],[Net (SAR)]])</f>
        <v>2151583.86</v>
      </c>
    </row>
    <row r="49" spans="1:8" x14ac:dyDescent="0.2">
      <c r="A49" s="5" t="s">
        <v>58</v>
      </c>
      <c r="B49" s="4">
        <v>45969</v>
      </c>
      <c r="C49" s="2" t="s">
        <v>12</v>
      </c>
      <c r="D49" s="12">
        <v>19449.27</v>
      </c>
      <c r="E49" s="13">
        <v>0</v>
      </c>
      <c r="F49" s="19" t="str" cm="1">
        <f t="array" ref="F49">IFERROR(LOOKUP(2^15,SEARCH(CategoryMap[Keyword],BankTransactions[[#This Row],[Description]]),CategoryMap[Category]),"Other")</f>
        <v>Cash Deposits</v>
      </c>
      <c r="G49" s="6">
        <f>BankTransactions[[#This Row],[Credit (SAR)]]-BankTransactions[[#This Row],[Debit (SAR)]]</f>
        <v>19449.27</v>
      </c>
      <c r="H49" s="6">
        <f>Opening+SUM(INDEX(BankTransactions[Net (SAR)],1):BankTransactions[[#This Row],[Net (SAR)]])</f>
        <v>2171033.13</v>
      </c>
    </row>
    <row r="50" spans="1:8" x14ac:dyDescent="0.2">
      <c r="A50" s="5" t="s">
        <v>59</v>
      </c>
      <c r="B50" s="4">
        <v>45969</v>
      </c>
      <c r="C50" s="2" t="s">
        <v>3</v>
      </c>
      <c r="D50" s="12">
        <v>0</v>
      </c>
      <c r="E50" s="13">
        <v>26054.240000000002</v>
      </c>
      <c r="F50" s="19" t="str" cm="1">
        <f t="array" ref="F50">IFERROR(LOOKUP(2^15,SEARCH(CategoryMap[Keyword],BankTransactions[[#This Row],[Description]]),CategoryMap[Category]),"Other")</f>
        <v>Supplier Payments</v>
      </c>
      <c r="G50" s="6">
        <f>BankTransactions[[#This Row],[Credit (SAR)]]-BankTransactions[[#This Row],[Debit (SAR)]]</f>
        <v>-26054.240000000002</v>
      </c>
      <c r="H50" s="6">
        <f>Opening+SUM(INDEX(BankTransactions[Net (SAR)],1):BankTransactions[[#This Row],[Net (SAR)]])</f>
        <v>2144978.89</v>
      </c>
    </row>
    <row r="51" spans="1:8" x14ac:dyDescent="0.2">
      <c r="A51" s="5" t="s">
        <v>60</v>
      </c>
      <c r="B51" s="4">
        <v>45971</v>
      </c>
      <c r="C51" s="2" t="s">
        <v>3</v>
      </c>
      <c r="D51" s="12">
        <v>0</v>
      </c>
      <c r="E51" s="13">
        <v>0</v>
      </c>
      <c r="F51" s="19" t="str" cm="1">
        <f t="array" ref="F51">IFERROR(LOOKUP(2^15,SEARCH(CategoryMap[Keyword],BankTransactions[[#This Row],[Description]]),CategoryMap[Category]),"Other")</f>
        <v>Supplier Payments</v>
      </c>
      <c r="G51" s="6">
        <f>BankTransactions[[#This Row],[Credit (SAR)]]-BankTransactions[[#This Row],[Debit (SAR)]]</f>
        <v>0</v>
      </c>
      <c r="H51" s="6">
        <f>Opening+SUM(INDEX(BankTransactions[Net (SAR)],1):BankTransactions[[#This Row],[Net (SAR)]])</f>
        <v>2144978.89</v>
      </c>
    </row>
    <row r="52" spans="1:8" x14ac:dyDescent="0.2">
      <c r="A52" s="5" t="s">
        <v>61</v>
      </c>
      <c r="B52" s="4">
        <v>45971</v>
      </c>
      <c r="C52" s="2" t="s">
        <v>7</v>
      </c>
      <c r="D52" s="12">
        <v>0</v>
      </c>
      <c r="E52" s="13">
        <v>0</v>
      </c>
      <c r="F52" s="19" t="str" cm="1">
        <f t="array" ref="F52">IFERROR(LOOKUP(2^15,SEARCH(CategoryMap[Keyword],BankTransactions[[#This Row],[Description]]),CategoryMap[Category]),"Other")</f>
        <v>Supplier Payments</v>
      </c>
      <c r="G52" s="6">
        <f>BankTransactions[[#This Row],[Credit (SAR)]]-BankTransactions[[#This Row],[Debit (SAR)]]</f>
        <v>0</v>
      </c>
      <c r="H52" s="6">
        <f>Opening+SUM(INDEX(BankTransactions[Net (SAR)],1):BankTransactions[[#This Row],[Net (SAR)]])</f>
        <v>2144978.89</v>
      </c>
    </row>
    <row r="53" spans="1:8" x14ac:dyDescent="0.2">
      <c r="A53" s="5" t="s">
        <v>62</v>
      </c>
      <c r="B53" s="4">
        <v>45972</v>
      </c>
      <c r="C53" s="2" t="s">
        <v>63</v>
      </c>
      <c r="D53" s="12">
        <v>2046.25</v>
      </c>
      <c r="E53" s="13">
        <v>0</v>
      </c>
      <c r="F53" s="19" t="str" cm="1">
        <f t="array" ref="F53">IFERROR(LOOKUP(2^15,SEARCH(CategoryMap[Keyword],BankTransactions[[#This Row],[Description]]),CategoryMap[Category]),"Other")</f>
        <v>Customer Receipts</v>
      </c>
      <c r="G53" s="6">
        <f>BankTransactions[[#This Row],[Credit (SAR)]]-BankTransactions[[#This Row],[Debit (SAR)]]</f>
        <v>2046.25</v>
      </c>
      <c r="H53" s="6">
        <f>Opening+SUM(INDEX(BankTransactions[Net (SAR)],1):BankTransactions[[#This Row],[Net (SAR)]])</f>
        <v>2147025.14</v>
      </c>
    </row>
    <row r="54" spans="1:8" x14ac:dyDescent="0.2">
      <c r="A54" s="5" t="s">
        <v>64</v>
      </c>
      <c r="B54" s="4">
        <v>45972</v>
      </c>
      <c r="C54" s="2" t="s">
        <v>65</v>
      </c>
      <c r="D54" s="12">
        <v>2012.44</v>
      </c>
      <c r="E54" s="13">
        <v>0</v>
      </c>
      <c r="F54" s="19" t="str" cm="1">
        <f t="array" ref="F54">IFERROR(LOOKUP(2^15,SEARCH(CategoryMap[Keyword],BankTransactions[[#This Row],[Description]]),CategoryMap[Category]),"Other")</f>
        <v>Customer Receipts</v>
      </c>
      <c r="G54" s="6">
        <f>BankTransactions[[#This Row],[Credit (SAR)]]-BankTransactions[[#This Row],[Debit (SAR)]]</f>
        <v>2012.44</v>
      </c>
      <c r="H54" s="6">
        <f>Opening+SUM(INDEX(BankTransactions[Net (SAR)],1):BankTransactions[[#This Row],[Net (SAR)]])</f>
        <v>2149037.58</v>
      </c>
    </row>
    <row r="55" spans="1:8" x14ac:dyDescent="0.2">
      <c r="A55" s="5" t="s">
        <v>66</v>
      </c>
      <c r="B55" s="4">
        <v>45972</v>
      </c>
      <c r="C55" s="2" t="s">
        <v>10</v>
      </c>
      <c r="D55" s="12">
        <v>0</v>
      </c>
      <c r="E55" s="13">
        <v>6478.48</v>
      </c>
      <c r="F55" s="19" t="str" cm="1">
        <f t="array" ref="F55">IFERROR(LOOKUP(2^15,SEARCH(CategoryMap[Keyword],BankTransactions[[#This Row],[Description]]),CategoryMap[Category]),"Other")</f>
        <v>Fuel &amp; Logistics</v>
      </c>
      <c r="G55" s="6">
        <f>BankTransactions[[#This Row],[Credit (SAR)]]-BankTransactions[[#This Row],[Debit (SAR)]]</f>
        <v>-6478.48</v>
      </c>
      <c r="H55" s="6">
        <f>Opening+SUM(INDEX(BankTransactions[Net (SAR)],1):BankTransactions[[#This Row],[Net (SAR)]])</f>
        <v>2142559.1</v>
      </c>
    </row>
    <row r="56" spans="1:8" x14ac:dyDescent="0.2">
      <c r="A56" s="5" t="s">
        <v>67</v>
      </c>
      <c r="B56" s="4">
        <v>45972</v>
      </c>
      <c r="C56" s="2" t="s">
        <v>12</v>
      </c>
      <c r="D56" s="12">
        <v>12493.43</v>
      </c>
      <c r="E56" s="13">
        <v>0</v>
      </c>
      <c r="F56" s="19" t="str" cm="1">
        <f t="array" ref="F56">IFERROR(LOOKUP(2^15,SEARCH(CategoryMap[Keyword],BankTransactions[[#This Row],[Description]]),CategoryMap[Category]),"Other")</f>
        <v>Cash Deposits</v>
      </c>
      <c r="G56" s="6">
        <f>BankTransactions[[#This Row],[Credit (SAR)]]-BankTransactions[[#This Row],[Debit (SAR)]]</f>
        <v>12493.43</v>
      </c>
      <c r="H56" s="6">
        <f>Opening+SUM(INDEX(BankTransactions[Net (SAR)],1):BankTransactions[[#This Row],[Net (SAR)]])</f>
        <v>2155052.5300000003</v>
      </c>
    </row>
    <row r="57" spans="1:8" x14ac:dyDescent="0.2">
      <c r="A57" s="5" t="s">
        <v>68</v>
      </c>
      <c r="B57" s="4">
        <v>45973</v>
      </c>
      <c r="C57" s="2" t="s">
        <v>69</v>
      </c>
      <c r="D57" s="12">
        <v>5089.5600000000004</v>
      </c>
      <c r="E57" s="13">
        <v>0</v>
      </c>
      <c r="F57" s="19" t="str" cm="1">
        <f t="array" ref="F57">IFERROR(LOOKUP(2^15,SEARCH(CategoryMap[Keyword],BankTransactions[[#This Row],[Description]]),CategoryMap[Category]),"Other")</f>
        <v>Customer Receipts</v>
      </c>
      <c r="G57" s="6">
        <f>BankTransactions[[#This Row],[Credit (SAR)]]-BankTransactions[[#This Row],[Debit (SAR)]]</f>
        <v>5089.5600000000004</v>
      </c>
      <c r="H57" s="6">
        <f>Opening+SUM(INDEX(BankTransactions[Net (SAR)],1):BankTransactions[[#This Row],[Net (SAR)]])</f>
        <v>2160142.09</v>
      </c>
    </row>
    <row r="58" spans="1:8" x14ac:dyDescent="0.2">
      <c r="A58" s="5" t="s">
        <v>70</v>
      </c>
      <c r="B58" s="4">
        <v>45973</v>
      </c>
      <c r="C58" s="2" t="s">
        <v>3</v>
      </c>
      <c r="D58" s="12">
        <v>0</v>
      </c>
      <c r="E58" s="13">
        <v>16664.98</v>
      </c>
      <c r="F58" s="19" t="str" cm="1">
        <f t="array" ref="F58">IFERROR(LOOKUP(2^15,SEARCH(CategoryMap[Keyword],BankTransactions[[#This Row],[Description]]),CategoryMap[Category]),"Other")</f>
        <v>Supplier Payments</v>
      </c>
      <c r="G58" s="6">
        <f>BankTransactions[[#This Row],[Credit (SAR)]]-BankTransactions[[#This Row],[Debit (SAR)]]</f>
        <v>-16664.98</v>
      </c>
      <c r="H58" s="6">
        <f>Opening+SUM(INDEX(BankTransactions[Net (SAR)],1):BankTransactions[[#This Row],[Net (SAR)]])</f>
        <v>2143477.1100000003</v>
      </c>
    </row>
    <row r="59" spans="1:8" x14ac:dyDescent="0.2">
      <c r="A59" s="5" t="s">
        <v>71</v>
      </c>
      <c r="B59" s="4">
        <v>45974</v>
      </c>
      <c r="C59" s="2" t="s">
        <v>3</v>
      </c>
      <c r="D59" s="12">
        <v>0</v>
      </c>
      <c r="E59" s="13">
        <v>12768.57</v>
      </c>
      <c r="F59" s="19" t="str" cm="1">
        <f t="array" ref="F59">IFERROR(LOOKUP(2^15,SEARCH(CategoryMap[Keyword],BankTransactions[[#This Row],[Description]]),CategoryMap[Category]),"Other")</f>
        <v>Supplier Payments</v>
      </c>
      <c r="G59" s="6">
        <f>BankTransactions[[#This Row],[Credit (SAR)]]-BankTransactions[[#This Row],[Debit (SAR)]]</f>
        <v>-12768.57</v>
      </c>
      <c r="H59" s="6">
        <f>Opening+SUM(INDEX(BankTransactions[Net (SAR)],1):BankTransactions[[#This Row],[Net (SAR)]])</f>
        <v>2130708.54</v>
      </c>
    </row>
    <row r="60" spans="1:8" x14ac:dyDescent="0.2">
      <c r="A60" s="5" t="s">
        <v>72</v>
      </c>
      <c r="B60" s="4">
        <v>45974</v>
      </c>
      <c r="C60" s="2" t="s">
        <v>3</v>
      </c>
      <c r="D60" s="12">
        <v>0</v>
      </c>
      <c r="E60" s="13">
        <v>24748.32</v>
      </c>
      <c r="F60" s="19" t="str" cm="1">
        <f t="array" ref="F60">IFERROR(LOOKUP(2^15,SEARCH(CategoryMap[Keyword],BankTransactions[[#This Row],[Description]]),CategoryMap[Category]),"Other")</f>
        <v>Supplier Payments</v>
      </c>
      <c r="G60" s="6">
        <f>BankTransactions[[#This Row],[Credit (SAR)]]-BankTransactions[[#This Row],[Debit (SAR)]]</f>
        <v>-24748.32</v>
      </c>
      <c r="H60" s="6">
        <f>Opening+SUM(INDEX(BankTransactions[Net (SAR)],1):BankTransactions[[#This Row],[Net (SAR)]])</f>
        <v>2105960.2200000002</v>
      </c>
    </row>
    <row r="61" spans="1:8" x14ac:dyDescent="0.2">
      <c r="A61" s="5" t="s">
        <v>73</v>
      </c>
      <c r="B61" s="4">
        <v>45976</v>
      </c>
      <c r="C61" s="2" t="s">
        <v>3</v>
      </c>
      <c r="D61" s="12">
        <v>0</v>
      </c>
      <c r="E61" s="13">
        <v>14599.29</v>
      </c>
      <c r="F61" s="19" t="str" cm="1">
        <f t="array" ref="F61">IFERROR(LOOKUP(2^15,SEARCH(CategoryMap[Keyword],BankTransactions[[#This Row],[Description]]),CategoryMap[Category]),"Other")</f>
        <v>Supplier Payments</v>
      </c>
      <c r="G61" s="6">
        <f>BankTransactions[[#This Row],[Credit (SAR)]]-BankTransactions[[#This Row],[Debit (SAR)]]</f>
        <v>-14599.29</v>
      </c>
      <c r="H61" s="6">
        <f>Opening+SUM(INDEX(BankTransactions[Net (SAR)],1):BankTransactions[[#This Row],[Net (SAR)]])</f>
        <v>2091360.9300000002</v>
      </c>
    </row>
    <row r="62" spans="1:8" x14ac:dyDescent="0.2">
      <c r="A62" s="5" t="s">
        <v>74</v>
      </c>
      <c r="B62" s="4">
        <v>45976</v>
      </c>
      <c r="C62" s="2" t="s">
        <v>12</v>
      </c>
      <c r="D62" s="12">
        <v>13308.72</v>
      </c>
      <c r="E62" s="13">
        <v>0</v>
      </c>
      <c r="F62" s="19" t="str" cm="1">
        <f t="array" ref="F62">IFERROR(LOOKUP(2^15,SEARCH(CategoryMap[Keyword],BankTransactions[[#This Row],[Description]]),CategoryMap[Category]),"Other")</f>
        <v>Cash Deposits</v>
      </c>
      <c r="G62" s="6">
        <f>BankTransactions[[#This Row],[Credit (SAR)]]-BankTransactions[[#This Row],[Debit (SAR)]]</f>
        <v>13308.72</v>
      </c>
      <c r="H62" s="6">
        <f>Opening+SUM(INDEX(BankTransactions[Net (SAR)],1):BankTransactions[[#This Row],[Net (SAR)]])</f>
        <v>2104669.65</v>
      </c>
    </row>
    <row r="63" spans="1:8" x14ac:dyDescent="0.2">
      <c r="A63" s="5" t="s">
        <v>75</v>
      </c>
      <c r="B63" s="4">
        <v>45976</v>
      </c>
      <c r="C63" s="2" t="s">
        <v>3</v>
      </c>
      <c r="D63" s="12">
        <v>0</v>
      </c>
      <c r="E63" s="13">
        <v>31468.81</v>
      </c>
      <c r="F63" s="19" t="str" cm="1">
        <f t="array" ref="F63">IFERROR(LOOKUP(2^15,SEARCH(CategoryMap[Keyword],BankTransactions[[#This Row],[Description]]),CategoryMap[Category]),"Other")</f>
        <v>Supplier Payments</v>
      </c>
      <c r="G63" s="6">
        <f>BankTransactions[[#This Row],[Credit (SAR)]]-BankTransactions[[#This Row],[Debit (SAR)]]</f>
        <v>-31468.81</v>
      </c>
      <c r="H63" s="6">
        <f>Opening+SUM(INDEX(BankTransactions[Net (SAR)],1):BankTransactions[[#This Row],[Net (SAR)]])</f>
        <v>2073200.84</v>
      </c>
    </row>
    <row r="64" spans="1:8" x14ac:dyDescent="0.2">
      <c r="A64" s="5" t="s">
        <v>76</v>
      </c>
      <c r="B64" s="4">
        <v>45978</v>
      </c>
      <c r="C64" s="2" t="s">
        <v>77</v>
      </c>
      <c r="D64" s="12">
        <v>14595.02</v>
      </c>
      <c r="E64" s="13">
        <v>0</v>
      </c>
      <c r="F64" s="19" t="str" cm="1">
        <f t="array" ref="F64">IFERROR(LOOKUP(2^15,SEARCH(CategoryMap[Keyword],BankTransactions[[#This Row],[Description]]),CategoryMap[Category]),"Other")</f>
        <v>Customer Receipts</v>
      </c>
      <c r="G64" s="6">
        <f>BankTransactions[[#This Row],[Credit (SAR)]]-BankTransactions[[#This Row],[Debit (SAR)]]</f>
        <v>14595.02</v>
      </c>
      <c r="H64" s="6">
        <f>Opening+SUM(INDEX(BankTransactions[Net (SAR)],1):BankTransactions[[#This Row],[Net (SAR)]])</f>
        <v>2087795.86</v>
      </c>
    </row>
    <row r="65" spans="1:8" x14ac:dyDescent="0.2">
      <c r="A65" s="5" t="s">
        <v>78</v>
      </c>
      <c r="B65" s="4">
        <v>45978</v>
      </c>
      <c r="C65" s="2" t="s">
        <v>79</v>
      </c>
      <c r="D65" s="12">
        <v>16756.41</v>
      </c>
      <c r="E65" s="13">
        <v>0</v>
      </c>
      <c r="F65" s="19" t="str" cm="1">
        <f t="array" ref="F65">IFERROR(LOOKUP(2^15,SEARCH(CategoryMap[Keyword],BankTransactions[[#This Row],[Description]]),CategoryMap[Category]),"Other")</f>
        <v>Customer Receipts</v>
      </c>
      <c r="G65" s="6">
        <f>BankTransactions[[#This Row],[Credit (SAR)]]-BankTransactions[[#This Row],[Debit (SAR)]]</f>
        <v>16756.41</v>
      </c>
      <c r="H65" s="6">
        <f>Opening+SUM(INDEX(BankTransactions[Net (SAR)],1):BankTransactions[[#This Row],[Net (SAR)]])</f>
        <v>2104552.27</v>
      </c>
    </row>
    <row r="66" spans="1:8" x14ac:dyDescent="0.2">
      <c r="A66" s="5" t="s">
        <v>80</v>
      </c>
      <c r="B66" s="4">
        <v>45978</v>
      </c>
      <c r="C66" s="2" t="s">
        <v>81</v>
      </c>
      <c r="D66" s="12">
        <v>14974.14</v>
      </c>
      <c r="E66" s="13">
        <v>0</v>
      </c>
      <c r="F66" s="19" t="str" cm="1">
        <f t="array" ref="F66">IFERROR(LOOKUP(2^15,SEARCH(CategoryMap[Keyword],BankTransactions[[#This Row],[Description]]),CategoryMap[Category]),"Other")</f>
        <v>Customer Receipts</v>
      </c>
      <c r="G66" s="6">
        <f>BankTransactions[[#This Row],[Credit (SAR)]]-BankTransactions[[#This Row],[Debit (SAR)]]</f>
        <v>14974.14</v>
      </c>
      <c r="H66" s="6">
        <f>Opening+SUM(INDEX(BankTransactions[Net (SAR)],1):BankTransactions[[#This Row],[Net (SAR)]])</f>
        <v>2119526.41</v>
      </c>
    </row>
    <row r="67" spans="1:8" x14ac:dyDescent="0.2">
      <c r="A67" s="5" t="s">
        <v>82</v>
      </c>
      <c r="B67" s="4">
        <v>45978</v>
      </c>
      <c r="C67" s="2" t="s">
        <v>83</v>
      </c>
      <c r="D67" s="12">
        <v>3152.01</v>
      </c>
      <c r="E67" s="13">
        <v>0</v>
      </c>
      <c r="F67" s="19" t="str" cm="1">
        <f t="array" ref="F67">IFERROR(LOOKUP(2^15,SEARCH(CategoryMap[Keyword],BankTransactions[[#This Row],[Description]]),CategoryMap[Category]),"Other")</f>
        <v>Customer Receipts</v>
      </c>
      <c r="G67" s="6">
        <f>BankTransactions[[#This Row],[Credit (SAR)]]-BankTransactions[[#This Row],[Debit (SAR)]]</f>
        <v>3152.01</v>
      </c>
      <c r="H67" s="6">
        <f>Opening+SUM(INDEX(BankTransactions[Net (SAR)],1):BankTransactions[[#This Row],[Net (SAR)]])</f>
        <v>2122678.42</v>
      </c>
    </row>
    <row r="68" spans="1:8" x14ac:dyDescent="0.2">
      <c r="A68" s="5" t="s">
        <v>84</v>
      </c>
      <c r="B68" s="4">
        <v>45979</v>
      </c>
      <c r="C68" s="2" t="s">
        <v>85</v>
      </c>
      <c r="D68" s="12">
        <v>4510.46</v>
      </c>
      <c r="E68" s="13">
        <v>0</v>
      </c>
      <c r="F68" s="19" t="str" cm="1">
        <f t="array" ref="F68">IFERROR(LOOKUP(2^15,SEARCH(CategoryMap[Keyword],BankTransactions[[#This Row],[Description]]),CategoryMap[Category]),"Other")</f>
        <v>Customer Receipts</v>
      </c>
      <c r="G68" s="6">
        <f>BankTransactions[[#This Row],[Credit (SAR)]]-BankTransactions[[#This Row],[Debit (SAR)]]</f>
        <v>4510.46</v>
      </c>
      <c r="H68" s="6">
        <f>Opening+SUM(INDEX(BankTransactions[Net (SAR)],1):BankTransactions[[#This Row],[Net (SAR)]])</f>
        <v>2127188.88</v>
      </c>
    </row>
    <row r="69" spans="1:8" x14ac:dyDescent="0.2">
      <c r="A69" s="5" t="s">
        <v>86</v>
      </c>
      <c r="B69" s="4">
        <v>45979</v>
      </c>
      <c r="C69" s="2" t="s">
        <v>7</v>
      </c>
      <c r="D69" s="12">
        <v>0</v>
      </c>
      <c r="E69" s="13">
        <v>57814.52</v>
      </c>
      <c r="F69" s="19" t="str" cm="1">
        <f t="array" ref="F69">IFERROR(LOOKUP(2^15,SEARCH(CategoryMap[Keyword],BankTransactions[[#This Row],[Description]]),CategoryMap[Category]),"Other")</f>
        <v>Supplier Payments</v>
      </c>
      <c r="G69" s="6">
        <f>BankTransactions[[#This Row],[Credit (SAR)]]-BankTransactions[[#This Row],[Debit (SAR)]]</f>
        <v>-57814.52</v>
      </c>
      <c r="H69" s="6">
        <f>Opening+SUM(INDEX(BankTransactions[Net (SAR)],1):BankTransactions[[#This Row],[Net (SAR)]])</f>
        <v>2069374.36</v>
      </c>
    </row>
    <row r="70" spans="1:8" x14ac:dyDescent="0.2">
      <c r="A70" s="5" t="s">
        <v>87</v>
      </c>
      <c r="B70" s="4">
        <v>45980</v>
      </c>
      <c r="C70" s="2" t="s">
        <v>88</v>
      </c>
      <c r="D70" s="12">
        <v>7014.56</v>
      </c>
      <c r="E70" s="13">
        <v>0</v>
      </c>
      <c r="F70" s="19" t="str" cm="1">
        <f t="array" ref="F70">IFERROR(LOOKUP(2^15,SEARCH(CategoryMap[Keyword],BankTransactions[[#This Row],[Description]]),CategoryMap[Category]),"Other")</f>
        <v>Customer Receipts</v>
      </c>
      <c r="G70" s="6">
        <f>BankTransactions[[#This Row],[Credit (SAR)]]-BankTransactions[[#This Row],[Debit (SAR)]]</f>
        <v>7014.56</v>
      </c>
      <c r="H70" s="6">
        <f>Opening+SUM(INDEX(BankTransactions[Net (SAR)],1):BankTransactions[[#This Row],[Net (SAR)]])</f>
        <v>2076388.9200000002</v>
      </c>
    </row>
    <row r="71" spans="1:8" x14ac:dyDescent="0.2">
      <c r="A71" s="5" t="s">
        <v>89</v>
      </c>
      <c r="B71" s="4">
        <v>45980</v>
      </c>
      <c r="C71" s="2" t="s">
        <v>90</v>
      </c>
      <c r="D71" s="12">
        <v>1182.96</v>
      </c>
      <c r="E71" s="13">
        <v>0</v>
      </c>
      <c r="F71" s="19" t="str" cm="1">
        <f t="array" ref="F71">IFERROR(LOOKUP(2^15,SEARCH(CategoryMap[Keyword],BankTransactions[[#This Row],[Description]]),CategoryMap[Category]),"Other")</f>
        <v>Customer Receipts</v>
      </c>
      <c r="G71" s="6">
        <f>BankTransactions[[#This Row],[Credit (SAR)]]-BankTransactions[[#This Row],[Debit (SAR)]]</f>
        <v>1182.96</v>
      </c>
      <c r="H71" s="6">
        <f>Opening+SUM(INDEX(BankTransactions[Net (SAR)],1):BankTransactions[[#This Row],[Net (SAR)]])</f>
        <v>2077571.8800000001</v>
      </c>
    </row>
    <row r="72" spans="1:8" x14ac:dyDescent="0.2">
      <c r="A72" s="5" t="s">
        <v>91</v>
      </c>
      <c r="B72" s="4">
        <v>45981</v>
      </c>
      <c r="C72" s="2" t="s">
        <v>92</v>
      </c>
      <c r="D72" s="12">
        <v>7535.48</v>
      </c>
      <c r="E72" s="13">
        <v>0</v>
      </c>
      <c r="F72" s="19" t="str" cm="1">
        <f t="array" ref="F72">IFERROR(LOOKUP(2^15,SEARCH(CategoryMap[Keyword],BankTransactions[[#This Row],[Description]]),CategoryMap[Category]),"Other")</f>
        <v>Customer Receipts</v>
      </c>
      <c r="G72" s="6">
        <f>BankTransactions[[#This Row],[Credit (SAR)]]-BankTransactions[[#This Row],[Debit (SAR)]]</f>
        <v>7535.48</v>
      </c>
      <c r="H72" s="6">
        <f>Opening+SUM(INDEX(BankTransactions[Net (SAR)],1):BankTransactions[[#This Row],[Net (SAR)]])</f>
        <v>2085107.36</v>
      </c>
    </row>
    <row r="73" spans="1:8" x14ac:dyDescent="0.2">
      <c r="A73" s="5" t="s">
        <v>93</v>
      </c>
      <c r="B73" s="4">
        <v>45981</v>
      </c>
      <c r="C73" s="2" t="s">
        <v>12</v>
      </c>
      <c r="D73" s="12">
        <v>42352.38</v>
      </c>
      <c r="E73" s="13">
        <v>0</v>
      </c>
      <c r="F73" s="19" t="str" cm="1">
        <f t="array" ref="F73">IFERROR(LOOKUP(2^15,SEARCH(CategoryMap[Keyword],BankTransactions[[#This Row],[Description]]),CategoryMap[Category]),"Other")</f>
        <v>Cash Deposits</v>
      </c>
      <c r="G73" s="6">
        <f>BankTransactions[[#This Row],[Credit (SAR)]]-BankTransactions[[#This Row],[Debit (SAR)]]</f>
        <v>42352.38</v>
      </c>
      <c r="H73" s="6">
        <f>Opening+SUM(INDEX(BankTransactions[Net (SAR)],1):BankTransactions[[#This Row],[Net (SAR)]])</f>
        <v>2127459.7400000002</v>
      </c>
    </row>
    <row r="74" spans="1:8" x14ac:dyDescent="0.2">
      <c r="A74" s="5" t="s">
        <v>94</v>
      </c>
      <c r="B74" s="4">
        <v>45981</v>
      </c>
      <c r="C74" s="2" t="s">
        <v>3</v>
      </c>
      <c r="D74" s="12">
        <v>0</v>
      </c>
      <c r="E74" s="13">
        <v>9301.56</v>
      </c>
      <c r="F74" s="19" t="str" cm="1">
        <f t="array" ref="F74">IFERROR(LOOKUP(2^15,SEARCH(CategoryMap[Keyword],BankTransactions[[#This Row],[Description]]),CategoryMap[Category]),"Other")</f>
        <v>Supplier Payments</v>
      </c>
      <c r="G74" s="6">
        <f>BankTransactions[[#This Row],[Credit (SAR)]]-BankTransactions[[#This Row],[Debit (SAR)]]</f>
        <v>-9301.56</v>
      </c>
      <c r="H74" s="6">
        <f>Opening+SUM(INDEX(BankTransactions[Net (SAR)],1):BankTransactions[[#This Row],[Net (SAR)]])</f>
        <v>2118158.1800000002</v>
      </c>
    </row>
    <row r="75" spans="1:8" x14ac:dyDescent="0.2">
      <c r="A75" s="5" t="s">
        <v>95</v>
      </c>
      <c r="B75" s="4">
        <v>45982</v>
      </c>
      <c r="C75" s="2" t="s">
        <v>10</v>
      </c>
      <c r="D75" s="12">
        <v>0</v>
      </c>
      <c r="E75" s="13">
        <v>9336.3700000000008</v>
      </c>
      <c r="F75" s="19" t="str" cm="1">
        <f t="array" ref="F75">IFERROR(LOOKUP(2^15,SEARCH(CategoryMap[Keyword],BankTransactions[[#This Row],[Description]]),CategoryMap[Category]),"Other")</f>
        <v>Fuel &amp; Logistics</v>
      </c>
      <c r="G75" s="6">
        <f>BankTransactions[[#This Row],[Credit (SAR)]]-BankTransactions[[#This Row],[Debit (SAR)]]</f>
        <v>-9336.3700000000008</v>
      </c>
      <c r="H75" s="6">
        <f>Opening+SUM(INDEX(BankTransactions[Net (SAR)],1):BankTransactions[[#This Row],[Net (SAR)]])</f>
        <v>2108821.81</v>
      </c>
    </row>
    <row r="76" spans="1:8" x14ac:dyDescent="0.2">
      <c r="A76" s="5" t="s">
        <v>96</v>
      </c>
      <c r="B76" s="4">
        <v>45983</v>
      </c>
      <c r="C76" s="2" t="s">
        <v>97</v>
      </c>
      <c r="D76" s="12">
        <v>4441.8</v>
      </c>
      <c r="E76" s="13">
        <v>0</v>
      </c>
      <c r="F76" s="19" t="str" cm="1">
        <f t="array" ref="F76">IFERROR(LOOKUP(2^15,SEARCH(CategoryMap[Keyword],BankTransactions[[#This Row],[Description]]),CategoryMap[Category]),"Other")</f>
        <v>Customer Receipts</v>
      </c>
      <c r="G76" s="6">
        <f>BankTransactions[[#This Row],[Credit (SAR)]]-BankTransactions[[#This Row],[Debit (SAR)]]</f>
        <v>4441.8</v>
      </c>
      <c r="H76" s="6">
        <f>Opening+SUM(INDEX(BankTransactions[Net (SAR)],1):BankTransactions[[#This Row],[Net (SAR)]])</f>
        <v>2113263.6100000003</v>
      </c>
    </row>
    <row r="77" spans="1:8" x14ac:dyDescent="0.2">
      <c r="A77" s="5" t="s">
        <v>98</v>
      </c>
      <c r="B77" s="4">
        <v>45983</v>
      </c>
      <c r="C77" s="2" t="s">
        <v>99</v>
      </c>
      <c r="D77" s="12">
        <v>37866.65</v>
      </c>
      <c r="E77" s="13">
        <v>0</v>
      </c>
      <c r="F77" s="19" t="str" cm="1">
        <f t="array" ref="F77">IFERROR(LOOKUP(2^15,SEARCH(CategoryMap[Keyword],BankTransactions[[#This Row],[Description]]),CategoryMap[Category]),"Other")</f>
        <v>Customer Receipts</v>
      </c>
      <c r="G77" s="6">
        <f>BankTransactions[[#This Row],[Credit (SAR)]]-BankTransactions[[#This Row],[Debit (SAR)]]</f>
        <v>37866.65</v>
      </c>
      <c r="H77" s="6">
        <f>Opening+SUM(INDEX(BankTransactions[Net (SAR)],1):BankTransactions[[#This Row],[Net (SAR)]])</f>
        <v>2151130.2600000002</v>
      </c>
    </row>
    <row r="78" spans="1:8" x14ac:dyDescent="0.2">
      <c r="A78" s="5" t="s">
        <v>100</v>
      </c>
      <c r="B78" s="4">
        <v>45983</v>
      </c>
      <c r="C78" s="2" t="s">
        <v>12</v>
      </c>
      <c r="D78" s="12">
        <v>10056.32</v>
      </c>
      <c r="E78" s="13">
        <v>0</v>
      </c>
      <c r="F78" s="19" t="str" cm="1">
        <f t="array" ref="F78">IFERROR(LOOKUP(2^15,SEARCH(CategoryMap[Keyword],BankTransactions[[#This Row],[Description]]),CategoryMap[Category]),"Other")</f>
        <v>Cash Deposits</v>
      </c>
      <c r="G78" s="6">
        <f>BankTransactions[[#This Row],[Credit (SAR)]]-BankTransactions[[#This Row],[Debit (SAR)]]</f>
        <v>10056.32</v>
      </c>
      <c r="H78" s="6">
        <f>Opening+SUM(INDEX(BankTransactions[Net (SAR)],1):BankTransactions[[#This Row],[Net (SAR)]])</f>
        <v>2161186.58</v>
      </c>
    </row>
    <row r="79" spans="1:8" x14ac:dyDescent="0.2">
      <c r="A79" s="5" t="s">
        <v>101</v>
      </c>
      <c r="B79" s="4">
        <v>45984</v>
      </c>
      <c r="C79" s="2" t="s">
        <v>102</v>
      </c>
      <c r="D79" s="12">
        <v>2396.48</v>
      </c>
      <c r="E79" s="13">
        <v>0</v>
      </c>
      <c r="F79" s="19" t="str" cm="1">
        <f t="array" ref="F79">IFERROR(LOOKUP(2^15,SEARCH(CategoryMap[Keyword],BankTransactions[[#This Row],[Description]]),CategoryMap[Category]),"Other")</f>
        <v>Customer Receipts</v>
      </c>
      <c r="G79" s="6">
        <f>BankTransactions[[#This Row],[Credit (SAR)]]-BankTransactions[[#This Row],[Debit (SAR)]]</f>
        <v>2396.48</v>
      </c>
      <c r="H79" s="6">
        <f>Opening+SUM(INDEX(BankTransactions[Net (SAR)],1):BankTransactions[[#This Row],[Net (SAR)]])</f>
        <v>2163583.06</v>
      </c>
    </row>
    <row r="80" spans="1:8" x14ac:dyDescent="0.2">
      <c r="A80" s="5" t="s">
        <v>103</v>
      </c>
      <c r="B80" s="4">
        <v>45984</v>
      </c>
      <c r="C80" s="2" t="s">
        <v>12</v>
      </c>
      <c r="D80" s="12">
        <v>42981</v>
      </c>
      <c r="E80" s="13">
        <v>0</v>
      </c>
      <c r="F80" s="19" t="str" cm="1">
        <f t="array" ref="F80">IFERROR(LOOKUP(2^15,SEARCH(CategoryMap[Keyword],BankTransactions[[#This Row],[Description]]),CategoryMap[Category]),"Other")</f>
        <v>Cash Deposits</v>
      </c>
      <c r="G80" s="6">
        <f>BankTransactions[[#This Row],[Credit (SAR)]]-BankTransactions[[#This Row],[Debit (SAR)]]</f>
        <v>42981</v>
      </c>
      <c r="H80" s="6">
        <f>Opening+SUM(INDEX(BankTransactions[Net (SAR)],1):BankTransactions[[#This Row],[Net (SAR)]])</f>
        <v>2206564.06</v>
      </c>
    </row>
    <row r="81" spans="1:8" x14ac:dyDescent="0.2">
      <c r="A81" s="5" t="s">
        <v>104</v>
      </c>
      <c r="B81" s="4">
        <v>45985</v>
      </c>
      <c r="C81" s="2" t="s">
        <v>105</v>
      </c>
      <c r="D81" s="12">
        <v>13117.94</v>
      </c>
      <c r="E81" s="13">
        <v>0</v>
      </c>
      <c r="F81" s="19" t="str" cm="1">
        <f t="array" ref="F81">IFERROR(LOOKUP(2^15,SEARCH(CategoryMap[Keyword],BankTransactions[[#This Row],[Description]]),CategoryMap[Category]),"Other")</f>
        <v>Customer Receipts</v>
      </c>
      <c r="G81" s="6">
        <f>BankTransactions[[#This Row],[Credit (SAR)]]-BankTransactions[[#This Row],[Debit (SAR)]]</f>
        <v>13117.94</v>
      </c>
      <c r="H81" s="6">
        <f>Opening+SUM(INDEX(BankTransactions[Net (SAR)],1):BankTransactions[[#This Row],[Net (SAR)]])</f>
        <v>2219682</v>
      </c>
    </row>
    <row r="82" spans="1:8" x14ac:dyDescent="0.2">
      <c r="A82" s="5" t="s">
        <v>106</v>
      </c>
      <c r="B82" s="4">
        <v>45985</v>
      </c>
      <c r="C82" s="2" t="s">
        <v>3</v>
      </c>
      <c r="D82" s="12">
        <v>0</v>
      </c>
      <c r="E82" s="13">
        <v>20451.759999999998</v>
      </c>
      <c r="F82" s="19" t="str" cm="1">
        <f t="array" ref="F82">IFERROR(LOOKUP(2^15,SEARCH(CategoryMap[Keyword],BankTransactions[[#This Row],[Description]]),CategoryMap[Category]),"Other")</f>
        <v>Supplier Payments</v>
      </c>
      <c r="G82" s="6">
        <f>BankTransactions[[#This Row],[Credit (SAR)]]-BankTransactions[[#This Row],[Debit (SAR)]]</f>
        <v>-20451.759999999998</v>
      </c>
      <c r="H82" s="6">
        <f>Opening+SUM(INDEX(BankTransactions[Net (SAR)],1):BankTransactions[[#This Row],[Net (SAR)]])</f>
        <v>2199230.2400000002</v>
      </c>
    </row>
    <row r="83" spans="1:8" x14ac:dyDescent="0.2">
      <c r="A83" s="5" t="s">
        <v>107</v>
      </c>
      <c r="B83" s="4">
        <v>45986</v>
      </c>
      <c r="C83" s="2" t="s">
        <v>108</v>
      </c>
      <c r="D83" s="12">
        <v>9695.33</v>
      </c>
      <c r="E83" s="13">
        <v>0</v>
      </c>
      <c r="F83" s="19" t="str" cm="1">
        <f t="array" ref="F83">IFERROR(LOOKUP(2^15,SEARCH(CategoryMap[Keyword],BankTransactions[[#This Row],[Description]]),CategoryMap[Category]),"Other")</f>
        <v>Customer Receipts</v>
      </c>
      <c r="G83" s="6">
        <f>BankTransactions[[#This Row],[Credit (SAR)]]-BankTransactions[[#This Row],[Debit (SAR)]]</f>
        <v>9695.33</v>
      </c>
      <c r="H83" s="6">
        <f>Opening+SUM(INDEX(BankTransactions[Net (SAR)],1):BankTransactions[[#This Row],[Net (SAR)]])</f>
        <v>2208925.5700000003</v>
      </c>
    </row>
    <row r="84" spans="1:8" x14ac:dyDescent="0.2">
      <c r="A84" s="5" t="s">
        <v>109</v>
      </c>
      <c r="B84" s="4">
        <v>45986</v>
      </c>
      <c r="C84" s="2" t="s">
        <v>110</v>
      </c>
      <c r="D84" s="12">
        <v>4001.47</v>
      </c>
      <c r="E84" s="13">
        <v>0</v>
      </c>
      <c r="F84" s="19" t="str" cm="1">
        <f t="array" ref="F84">IFERROR(LOOKUP(2^15,SEARCH(CategoryMap[Keyword],BankTransactions[[#This Row],[Description]]),CategoryMap[Category]),"Other")</f>
        <v>Customer Receipts</v>
      </c>
      <c r="G84" s="6">
        <f>BankTransactions[[#This Row],[Credit (SAR)]]-BankTransactions[[#This Row],[Debit (SAR)]]</f>
        <v>4001.47</v>
      </c>
      <c r="H84" s="6">
        <f>Opening+SUM(INDEX(BankTransactions[Net (SAR)],1):BankTransactions[[#This Row],[Net (SAR)]])</f>
        <v>2212927.04</v>
      </c>
    </row>
    <row r="85" spans="1:8" x14ac:dyDescent="0.2">
      <c r="A85" s="5" t="s">
        <v>111</v>
      </c>
      <c r="B85" s="4">
        <v>45986</v>
      </c>
      <c r="C85" s="2" t="s">
        <v>112</v>
      </c>
      <c r="D85" s="12">
        <v>8235.5400000000009</v>
      </c>
      <c r="E85" s="13">
        <v>0</v>
      </c>
      <c r="F85" s="19" t="str" cm="1">
        <f t="array" ref="F85">IFERROR(LOOKUP(2^15,SEARCH(CategoryMap[Keyword],BankTransactions[[#This Row],[Description]]),CategoryMap[Category]),"Other")</f>
        <v>Customer Receipts</v>
      </c>
      <c r="G85" s="6">
        <f>BankTransactions[[#This Row],[Credit (SAR)]]-BankTransactions[[#This Row],[Debit (SAR)]]</f>
        <v>8235.5400000000009</v>
      </c>
      <c r="H85" s="6">
        <f>Opening+SUM(INDEX(BankTransactions[Net (SAR)],1):BankTransactions[[#This Row],[Net (SAR)]])</f>
        <v>2221162.58</v>
      </c>
    </row>
    <row r="86" spans="1:8" x14ac:dyDescent="0.2">
      <c r="A86" s="5" t="s">
        <v>113</v>
      </c>
      <c r="B86" s="4">
        <v>45986</v>
      </c>
      <c r="C86" s="2" t="s">
        <v>22</v>
      </c>
      <c r="D86" s="12">
        <v>0</v>
      </c>
      <c r="E86" s="13">
        <v>64000</v>
      </c>
      <c r="F86" s="19" t="str" cm="1">
        <f t="array" ref="F86">IFERROR(LOOKUP(2^15,SEARCH(CategoryMap[Keyword],BankTransactions[[#This Row],[Description]]),CategoryMap[Category]),"Other")</f>
        <v>Payroll</v>
      </c>
      <c r="G86" s="6">
        <f>BankTransactions[[#This Row],[Credit (SAR)]]-BankTransactions[[#This Row],[Debit (SAR)]]</f>
        <v>-64000</v>
      </c>
      <c r="H86" s="6">
        <f>Opening+SUM(INDEX(BankTransactions[Net (SAR)],1):BankTransactions[[#This Row],[Net (SAR)]])</f>
        <v>2157162.58</v>
      </c>
    </row>
    <row r="87" spans="1:8" x14ac:dyDescent="0.2">
      <c r="A87" s="5" t="s">
        <v>114</v>
      </c>
      <c r="B87" s="4">
        <v>45986</v>
      </c>
      <c r="C87" s="2" t="s">
        <v>24</v>
      </c>
      <c r="D87" s="12">
        <v>0</v>
      </c>
      <c r="E87" s="13">
        <v>21000</v>
      </c>
      <c r="F87" s="19" t="str" cm="1">
        <f t="array" ref="F87">IFERROR(LOOKUP(2^15,SEARCH(CategoryMap[Keyword],BankTransactions[[#This Row],[Description]]),CategoryMap[Category]),"Other")</f>
        <v>Loan Repayments</v>
      </c>
      <c r="G87" s="6">
        <f>BankTransactions[[#This Row],[Credit (SAR)]]-BankTransactions[[#This Row],[Debit (SAR)]]</f>
        <v>-21000</v>
      </c>
      <c r="H87" s="6">
        <f>Opening+SUM(INDEX(BankTransactions[Net (SAR)],1):BankTransactions[[#This Row],[Net (SAR)]])</f>
        <v>2136162.58</v>
      </c>
    </row>
    <row r="88" spans="1:8" x14ac:dyDescent="0.2">
      <c r="A88" s="5" t="s">
        <v>115</v>
      </c>
      <c r="B88" s="4">
        <v>45986</v>
      </c>
      <c r="C88" s="2" t="s">
        <v>7</v>
      </c>
      <c r="D88" s="12">
        <v>0</v>
      </c>
      <c r="E88" s="13">
        <v>15664.99</v>
      </c>
      <c r="F88" s="19" t="str" cm="1">
        <f t="array" ref="F88">IFERROR(LOOKUP(2^15,SEARCH(CategoryMap[Keyword],BankTransactions[[#This Row],[Description]]),CategoryMap[Category]),"Other")</f>
        <v>Supplier Payments</v>
      </c>
      <c r="G88" s="6">
        <f>BankTransactions[[#This Row],[Credit (SAR)]]-BankTransactions[[#This Row],[Debit (SAR)]]</f>
        <v>-15664.99</v>
      </c>
      <c r="H88" s="6">
        <f>Opening+SUM(INDEX(BankTransactions[Net (SAR)],1):BankTransactions[[#This Row],[Net (SAR)]])</f>
        <v>2120497.59</v>
      </c>
    </row>
    <row r="89" spans="1:8" x14ac:dyDescent="0.2">
      <c r="A89" s="5" t="s">
        <v>116</v>
      </c>
      <c r="B89" s="4">
        <v>45986</v>
      </c>
      <c r="C89" s="2" t="s">
        <v>3</v>
      </c>
      <c r="D89" s="12">
        <v>0</v>
      </c>
      <c r="E89" s="13">
        <v>57495.74</v>
      </c>
      <c r="F89" s="19" t="str" cm="1">
        <f t="array" ref="F89">IFERROR(LOOKUP(2^15,SEARCH(CategoryMap[Keyword],BankTransactions[[#This Row],[Description]]),CategoryMap[Category]),"Other")</f>
        <v>Supplier Payments</v>
      </c>
      <c r="G89" s="6">
        <f>BankTransactions[[#This Row],[Credit (SAR)]]-BankTransactions[[#This Row],[Debit (SAR)]]</f>
        <v>-57495.74</v>
      </c>
      <c r="H89" s="6">
        <f>Opening+SUM(INDEX(BankTransactions[Net (SAR)],1):BankTransactions[[#This Row],[Net (SAR)]])</f>
        <v>2063001.85</v>
      </c>
    </row>
    <row r="90" spans="1:8" x14ac:dyDescent="0.2">
      <c r="A90" s="5" t="s">
        <v>117</v>
      </c>
      <c r="B90" s="4">
        <v>45987</v>
      </c>
      <c r="C90" s="2" t="s">
        <v>118</v>
      </c>
      <c r="D90" s="12">
        <v>2160.69</v>
      </c>
      <c r="E90" s="13">
        <v>0</v>
      </c>
      <c r="F90" s="19" t="str" cm="1">
        <f t="array" ref="F90">IFERROR(LOOKUP(2^15,SEARCH(CategoryMap[Keyword],BankTransactions[[#This Row],[Description]]),CategoryMap[Category]),"Other")</f>
        <v>Customer Receipts</v>
      </c>
      <c r="G90" s="6">
        <f>BankTransactions[[#This Row],[Credit (SAR)]]-BankTransactions[[#This Row],[Debit (SAR)]]</f>
        <v>2160.69</v>
      </c>
      <c r="H90" s="6">
        <f>Opening+SUM(INDEX(BankTransactions[Net (SAR)],1):BankTransactions[[#This Row],[Net (SAR)]])</f>
        <v>2065162.54</v>
      </c>
    </row>
    <row r="91" spans="1:8" x14ac:dyDescent="0.2">
      <c r="A91" s="5" t="s">
        <v>119</v>
      </c>
      <c r="B91" s="4">
        <v>45987</v>
      </c>
      <c r="C91" s="2" t="s">
        <v>12</v>
      </c>
      <c r="D91" s="12">
        <v>13718.72</v>
      </c>
      <c r="E91" s="13">
        <v>0</v>
      </c>
      <c r="F91" s="19" t="str" cm="1">
        <f t="array" ref="F91">IFERROR(LOOKUP(2^15,SEARCH(CategoryMap[Keyword],BankTransactions[[#This Row],[Description]]),CategoryMap[Category]),"Other")</f>
        <v>Cash Deposits</v>
      </c>
      <c r="G91" s="6">
        <f>BankTransactions[[#This Row],[Credit (SAR)]]-BankTransactions[[#This Row],[Debit (SAR)]]</f>
        <v>13718.72</v>
      </c>
      <c r="H91" s="6">
        <f>Opening+SUM(INDEX(BankTransactions[Net (SAR)],1):BankTransactions[[#This Row],[Net (SAR)]])</f>
        <v>2078881.26</v>
      </c>
    </row>
    <row r="92" spans="1:8" x14ac:dyDescent="0.2">
      <c r="A92" s="5" t="s">
        <v>120</v>
      </c>
      <c r="B92" s="4">
        <v>45990</v>
      </c>
      <c r="C92" s="2" t="s">
        <v>121</v>
      </c>
      <c r="D92" s="12">
        <v>2486.39</v>
      </c>
      <c r="E92" s="13">
        <v>0</v>
      </c>
      <c r="F92" s="19" t="str" cm="1">
        <f t="array" ref="F92">IFERROR(LOOKUP(2^15,SEARCH(CategoryMap[Keyword],BankTransactions[[#This Row],[Description]]),CategoryMap[Category]),"Other")</f>
        <v>Customer Receipts</v>
      </c>
      <c r="G92" s="6">
        <f>BankTransactions[[#This Row],[Credit (SAR)]]-BankTransactions[[#This Row],[Debit (SAR)]]</f>
        <v>2486.39</v>
      </c>
      <c r="H92" s="6">
        <f>Opening+SUM(INDEX(BankTransactions[Net (SAR)],1):BankTransactions[[#This Row],[Net (SAR)]])</f>
        <v>2081367.6500000001</v>
      </c>
    </row>
    <row r="93" spans="1:8" x14ac:dyDescent="0.2">
      <c r="A93" s="5" t="s">
        <v>122</v>
      </c>
      <c r="B93" s="4">
        <v>45990</v>
      </c>
      <c r="C93" s="2" t="s">
        <v>123</v>
      </c>
      <c r="D93" s="12">
        <v>8908.58</v>
      </c>
      <c r="E93" s="13">
        <v>0</v>
      </c>
      <c r="F93" s="19" t="str" cm="1">
        <f t="array" ref="F93">IFERROR(LOOKUP(2^15,SEARCH(CategoryMap[Keyword],BankTransactions[[#This Row],[Description]]),CategoryMap[Category]),"Other")</f>
        <v>Customer Receipts</v>
      </c>
      <c r="G93" s="6">
        <f>BankTransactions[[#This Row],[Credit (SAR)]]-BankTransactions[[#This Row],[Debit (SAR)]]</f>
        <v>8908.58</v>
      </c>
      <c r="H93" s="6">
        <f>Opening+SUM(INDEX(BankTransactions[Net (SAR)],1):BankTransactions[[#This Row],[Net (SAR)]])</f>
        <v>2090276.23</v>
      </c>
    </row>
    <row r="94" spans="1:8" x14ac:dyDescent="0.2">
      <c r="A94" s="5" t="s">
        <v>124</v>
      </c>
      <c r="B94" s="4">
        <v>45990</v>
      </c>
      <c r="C94" s="2" t="s">
        <v>7</v>
      </c>
      <c r="D94" s="12">
        <v>0</v>
      </c>
      <c r="E94" s="13">
        <v>49190.48</v>
      </c>
      <c r="F94" s="19" t="str" cm="1">
        <f t="array" ref="F94">IFERROR(LOOKUP(2^15,SEARCH(CategoryMap[Keyword],BankTransactions[[#This Row],[Description]]),CategoryMap[Category]),"Other")</f>
        <v>Supplier Payments</v>
      </c>
      <c r="G94" s="6">
        <f>BankTransactions[[#This Row],[Credit (SAR)]]-BankTransactions[[#This Row],[Debit (SAR)]]</f>
        <v>-49190.48</v>
      </c>
      <c r="H94" s="6">
        <f>Opening+SUM(INDEX(BankTransactions[Net (SAR)],1):BankTransactions[[#This Row],[Net (SAR)]])</f>
        <v>2041085.75</v>
      </c>
    </row>
    <row r="95" spans="1:8" x14ac:dyDescent="0.2">
      <c r="A95" s="5" t="s">
        <v>125</v>
      </c>
      <c r="B95" s="4">
        <v>45991</v>
      </c>
      <c r="C95" s="2" t="s">
        <v>126</v>
      </c>
      <c r="D95" s="12">
        <v>7510.14</v>
      </c>
      <c r="E95" s="13">
        <v>0</v>
      </c>
      <c r="F95" s="19" t="str" cm="1">
        <f t="array" ref="F95">IFERROR(LOOKUP(2^15,SEARCH(CategoryMap[Keyword],BankTransactions[[#This Row],[Description]]),CategoryMap[Category]),"Other")</f>
        <v>Customer Receipts</v>
      </c>
      <c r="G95" s="6">
        <f>BankTransactions[[#This Row],[Credit (SAR)]]-BankTransactions[[#This Row],[Debit (SAR)]]</f>
        <v>7510.14</v>
      </c>
      <c r="H95" s="6">
        <f>Opening+SUM(INDEX(BankTransactions[Net (SAR)],1):BankTransactions[[#This Row],[Net (SAR)]])</f>
        <v>2048595.8900000001</v>
      </c>
    </row>
    <row r="96" spans="1:8" x14ac:dyDescent="0.2">
      <c r="A96" s="5" t="s">
        <v>127</v>
      </c>
      <c r="B96" s="4">
        <v>45991</v>
      </c>
      <c r="C96" s="2" t="s">
        <v>128</v>
      </c>
      <c r="D96" s="12">
        <v>5139.25</v>
      </c>
      <c r="E96" s="13">
        <v>0</v>
      </c>
      <c r="F96" s="19" t="str" cm="1">
        <f t="array" ref="F96">IFERROR(LOOKUP(2^15,SEARCH(CategoryMap[Keyword],BankTransactions[[#This Row],[Description]]),CategoryMap[Category]),"Other")</f>
        <v>Customer Receipts</v>
      </c>
      <c r="G96" s="6">
        <f>BankTransactions[[#This Row],[Credit (SAR)]]-BankTransactions[[#This Row],[Debit (SAR)]]</f>
        <v>5139.25</v>
      </c>
      <c r="H96" s="6">
        <f>Opening+SUM(INDEX(BankTransactions[Net (SAR)],1):BankTransactions[[#This Row],[Net (SAR)]])</f>
        <v>2053735.1400000001</v>
      </c>
    </row>
    <row r="97" spans="1:8" x14ac:dyDescent="0.2">
      <c r="A97" s="5" t="s">
        <v>129</v>
      </c>
      <c r="B97" s="4">
        <v>45991</v>
      </c>
      <c r="C97" s="2" t="s">
        <v>130</v>
      </c>
      <c r="D97" s="12">
        <v>2805.86</v>
      </c>
      <c r="E97" s="13">
        <v>0</v>
      </c>
      <c r="F97" s="19" t="str" cm="1">
        <f t="array" ref="F97">IFERROR(LOOKUP(2^15,SEARCH(CategoryMap[Keyword],BankTransactions[[#This Row],[Description]]),CategoryMap[Category]),"Other")</f>
        <v>Customer Receipts</v>
      </c>
      <c r="G97" s="6">
        <f>BankTransactions[[#This Row],[Credit (SAR)]]-BankTransactions[[#This Row],[Debit (SAR)]]</f>
        <v>2805.86</v>
      </c>
      <c r="H97" s="6">
        <f>Opening+SUM(INDEX(BankTransactions[Net (SAR)],1):BankTransactions[[#This Row],[Net (SAR)]])</f>
        <v>2056541</v>
      </c>
    </row>
    <row r="98" spans="1:8" x14ac:dyDescent="0.2">
      <c r="A98" s="5" t="s">
        <v>131</v>
      </c>
      <c r="B98" s="4">
        <v>45991</v>
      </c>
      <c r="C98" s="2" t="s">
        <v>10</v>
      </c>
      <c r="D98" s="12">
        <v>0</v>
      </c>
      <c r="E98" s="13">
        <v>21008.55</v>
      </c>
      <c r="F98" s="19" t="str" cm="1">
        <f t="array" ref="F98">IFERROR(LOOKUP(2^15,SEARCH(CategoryMap[Keyword],BankTransactions[[#This Row],[Description]]),CategoryMap[Category]),"Other")</f>
        <v>Fuel &amp; Logistics</v>
      </c>
      <c r="G98" s="6">
        <f>BankTransactions[[#This Row],[Credit (SAR)]]-BankTransactions[[#This Row],[Debit (SAR)]]</f>
        <v>-21008.55</v>
      </c>
      <c r="H98" s="6">
        <f>Opening+SUM(INDEX(BankTransactions[Net (SAR)],1):BankTransactions[[#This Row],[Net (SAR)]])</f>
        <v>2035532.4500000002</v>
      </c>
    </row>
    <row r="99" spans="1:8" x14ac:dyDescent="0.2">
      <c r="A99" s="5" t="s">
        <v>132</v>
      </c>
      <c r="B99" s="4">
        <v>45992</v>
      </c>
      <c r="C99" s="2" t="s">
        <v>133</v>
      </c>
      <c r="D99" s="12">
        <v>2343.91</v>
      </c>
      <c r="E99" s="13">
        <v>0</v>
      </c>
      <c r="F99" s="19" t="str" cm="1">
        <f t="array" ref="F99">IFERROR(LOOKUP(2^15,SEARCH(CategoryMap[Keyword],BankTransactions[[#This Row],[Description]]),CategoryMap[Category]),"Other")</f>
        <v>Customer Receipts</v>
      </c>
      <c r="G99" s="6">
        <f>BankTransactions[[#This Row],[Credit (SAR)]]-BankTransactions[[#This Row],[Debit (SAR)]]</f>
        <v>2343.91</v>
      </c>
      <c r="H99" s="6">
        <f>Opening+SUM(INDEX(BankTransactions[Net (SAR)],1):BankTransactions[[#This Row],[Net (SAR)]])</f>
        <v>2037876.36</v>
      </c>
    </row>
    <row r="100" spans="1:8" x14ac:dyDescent="0.2">
      <c r="A100" s="5" t="s">
        <v>134</v>
      </c>
      <c r="B100" s="4">
        <v>45992</v>
      </c>
      <c r="C100" s="2" t="s">
        <v>135</v>
      </c>
      <c r="D100" s="12">
        <v>8508.2900000000009</v>
      </c>
      <c r="E100" s="13">
        <v>0</v>
      </c>
      <c r="F100" s="19" t="str" cm="1">
        <f t="array" ref="F100">IFERROR(LOOKUP(2^15,SEARCH(CategoryMap[Keyword],BankTransactions[[#This Row],[Description]]),CategoryMap[Category]),"Other")</f>
        <v>Customer Receipts</v>
      </c>
      <c r="G100" s="6">
        <f>BankTransactions[[#This Row],[Credit (SAR)]]-BankTransactions[[#This Row],[Debit (SAR)]]</f>
        <v>8508.2900000000009</v>
      </c>
      <c r="H100" s="6">
        <f>Opening+SUM(INDEX(BankTransactions[Net (SAR)],1):BankTransactions[[#This Row],[Net (SAR)]])</f>
        <v>2046384.6500000001</v>
      </c>
    </row>
    <row r="101" spans="1:8" x14ac:dyDescent="0.2">
      <c r="A101" s="5" t="s">
        <v>136</v>
      </c>
      <c r="B101" s="4">
        <v>45992</v>
      </c>
      <c r="C101" s="2" t="s">
        <v>112</v>
      </c>
      <c r="D101" s="12">
        <v>10421.120000000001</v>
      </c>
      <c r="E101" s="13">
        <v>0</v>
      </c>
      <c r="F101" s="19" t="str" cm="1">
        <f t="array" ref="F101">IFERROR(LOOKUP(2^15,SEARCH(CategoryMap[Keyword],BankTransactions[[#This Row],[Description]]),CategoryMap[Category]),"Other")</f>
        <v>Customer Receipts</v>
      </c>
      <c r="G101" s="6">
        <f>BankTransactions[[#This Row],[Credit (SAR)]]-BankTransactions[[#This Row],[Debit (SAR)]]</f>
        <v>10421.120000000001</v>
      </c>
      <c r="H101" s="6">
        <f>Opening+SUM(INDEX(BankTransactions[Net (SAR)],1):BankTransactions[[#This Row],[Net (SAR)]])</f>
        <v>2056805.77</v>
      </c>
    </row>
    <row r="102" spans="1:8" x14ac:dyDescent="0.2">
      <c r="A102" s="5" t="s">
        <v>137</v>
      </c>
      <c r="B102" s="4">
        <v>45992</v>
      </c>
      <c r="C102" s="2" t="s">
        <v>1</v>
      </c>
      <c r="D102" s="12">
        <v>0</v>
      </c>
      <c r="E102" s="13">
        <v>38000</v>
      </c>
      <c r="F102" s="19" t="str" cm="1">
        <f t="array" ref="F102">IFERROR(LOOKUP(2^15,SEARCH(CategoryMap[Keyword],BankTransactions[[#This Row],[Description]]),CategoryMap[Category]),"Other")</f>
        <v>Rent</v>
      </c>
      <c r="G102" s="6">
        <f>BankTransactions[[#This Row],[Credit (SAR)]]-BankTransactions[[#This Row],[Debit (SAR)]]</f>
        <v>-38000</v>
      </c>
      <c r="H102" s="6">
        <f>Opening+SUM(INDEX(BankTransactions[Net (SAR)],1):BankTransactions[[#This Row],[Net (SAR)]])</f>
        <v>2018805.77</v>
      </c>
    </row>
    <row r="103" spans="1:8" x14ac:dyDescent="0.2">
      <c r="A103" s="5" t="s">
        <v>138</v>
      </c>
      <c r="B103" s="4">
        <v>45992</v>
      </c>
      <c r="C103" s="2" t="s">
        <v>7</v>
      </c>
      <c r="D103" s="12">
        <v>0</v>
      </c>
      <c r="E103" s="13">
        <v>9226.11</v>
      </c>
      <c r="F103" s="19" t="str" cm="1">
        <f t="array" ref="F103">IFERROR(LOOKUP(2^15,SEARCH(CategoryMap[Keyword],BankTransactions[[#This Row],[Description]]),CategoryMap[Category]),"Other")</f>
        <v>Supplier Payments</v>
      </c>
      <c r="G103" s="6">
        <f>BankTransactions[[#This Row],[Credit (SAR)]]-BankTransactions[[#This Row],[Debit (SAR)]]</f>
        <v>-9226.11</v>
      </c>
      <c r="H103" s="6">
        <f>Opening+SUM(INDEX(BankTransactions[Net (SAR)],1):BankTransactions[[#This Row],[Net (SAR)]])</f>
        <v>2009579.6600000001</v>
      </c>
    </row>
    <row r="104" spans="1:8" x14ac:dyDescent="0.2">
      <c r="A104" s="5" t="s">
        <v>139</v>
      </c>
      <c r="B104" s="4">
        <v>45993</v>
      </c>
      <c r="C104" s="2" t="s">
        <v>140</v>
      </c>
      <c r="D104" s="12">
        <v>7265.65</v>
      </c>
      <c r="E104" s="13">
        <v>0</v>
      </c>
      <c r="F104" s="19" t="str" cm="1">
        <f t="array" ref="F104">IFERROR(LOOKUP(2^15,SEARCH(CategoryMap[Keyword],BankTransactions[[#This Row],[Description]]),CategoryMap[Category]),"Other")</f>
        <v>Customer Receipts</v>
      </c>
      <c r="G104" s="6">
        <f>BankTransactions[[#This Row],[Credit (SAR)]]-BankTransactions[[#This Row],[Debit (SAR)]]</f>
        <v>7265.65</v>
      </c>
      <c r="H104" s="6">
        <f>Opening+SUM(INDEX(BankTransactions[Net (SAR)],1):BankTransactions[[#This Row],[Net (SAR)]])</f>
        <v>2016845.31</v>
      </c>
    </row>
    <row r="105" spans="1:8" x14ac:dyDescent="0.2">
      <c r="A105" s="5" t="s">
        <v>141</v>
      </c>
      <c r="B105" s="4">
        <v>45994</v>
      </c>
      <c r="C105" s="2" t="s">
        <v>142</v>
      </c>
      <c r="D105" s="12">
        <v>21971.34</v>
      </c>
      <c r="E105" s="13">
        <v>0</v>
      </c>
      <c r="F105" s="19" t="str" cm="1">
        <f t="array" ref="F105">IFERROR(LOOKUP(2^15,SEARCH(CategoryMap[Keyword],BankTransactions[[#This Row],[Description]]),CategoryMap[Category]),"Other")</f>
        <v>Customer Receipts</v>
      </c>
      <c r="G105" s="6">
        <f>BankTransactions[[#This Row],[Credit (SAR)]]-BankTransactions[[#This Row],[Debit (SAR)]]</f>
        <v>21971.34</v>
      </c>
      <c r="H105" s="6">
        <f>Opening+SUM(INDEX(BankTransactions[Net (SAR)],1):BankTransactions[[#This Row],[Net (SAR)]])</f>
        <v>2038816.6500000001</v>
      </c>
    </row>
    <row r="106" spans="1:8" x14ac:dyDescent="0.2">
      <c r="A106" s="5" t="s">
        <v>143</v>
      </c>
      <c r="B106" s="4">
        <v>45994</v>
      </c>
      <c r="C106" s="2" t="s">
        <v>12</v>
      </c>
      <c r="D106" s="12">
        <v>34413.24</v>
      </c>
      <c r="E106" s="13">
        <v>0</v>
      </c>
      <c r="F106" s="19" t="str" cm="1">
        <f t="array" ref="F106">IFERROR(LOOKUP(2^15,SEARCH(CategoryMap[Keyword],BankTransactions[[#This Row],[Description]]),CategoryMap[Category]),"Other")</f>
        <v>Cash Deposits</v>
      </c>
      <c r="G106" s="6">
        <f>BankTransactions[[#This Row],[Credit (SAR)]]-BankTransactions[[#This Row],[Debit (SAR)]]</f>
        <v>34413.24</v>
      </c>
      <c r="H106" s="6">
        <f>Opening+SUM(INDEX(BankTransactions[Net (SAR)],1):BankTransactions[[#This Row],[Net (SAR)]])</f>
        <v>2073229.8900000001</v>
      </c>
    </row>
    <row r="107" spans="1:8" x14ac:dyDescent="0.2">
      <c r="A107" s="5" t="s">
        <v>144</v>
      </c>
      <c r="B107" s="4">
        <v>45995</v>
      </c>
      <c r="C107" s="2" t="s">
        <v>145</v>
      </c>
      <c r="D107" s="12">
        <v>28399.02</v>
      </c>
      <c r="E107" s="13">
        <v>0</v>
      </c>
      <c r="F107" s="19" t="str" cm="1">
        <f t="array" ref="F107">IFERROR(LOOKUP(2^15,SEARCH(CategoryMap[Keyword],BankTransactions[[#This Row],[Description]]),CategoryMap[Category]),"Other")</f>
        <v>Customer Receipts</v>
      </c>
      <c r="G107" s="6">
        <f>BankTransactions[[#This Row],[Credit (SAR)]]-BankTransactions[[#This Row],[Debit (SAR)]]</f>
        <v>28399.02</v>
      </c>
      <c r="H107" s="6">
        <f>Opening+SUM(INDEX(BankTransactions[Net (SAR)],1):BankTransactions[[#This Row],[Net (SAR)]])</f>
        <v>2101628.91</v>
      </c>
    </row>
    <row r="108" spans="1:8" x14ac:dyDescent="0.2">
      <c r="A108" s="5" t="s">
        <v>146</v>
      </c>
      <c r="B108" s="4">
        <v>45995</v>
      </c>
      <c r="C108" s="2" t="s">
        <v>147</v>
      </c>
      <c r="D108" s="12">
        <v>12907.32</v>
      </c>
      <c r="E108" s="13">
        <v>0</v>
      </c>
      <c r="F108" s="19" t="str" cm="1">
        <f t="array" ref="F108">IFERROR(LOOKUP(2^15,SEARCH(CategoryMap[Keyword],BankTransactions[[#This Row],[Description]]),CategoryMap[Category]),"Other")</f>
        <v>Customer Receipts</v>
      </c>
      <c r="G108" s="6">
        <f>BankTransactions[[#This Row],[Credit (SAR)]]-BankTransactions[[#This Row],[Debit (SAR)]]</f>
        <v>12907.32</v>
      </c>
      <c r="H108" s="6">
        <f>Opening+SUM(INDEX(BankTransactions[Net (SAR)],1):BankTransactions[[#This Row],[Net (SAR)]])</f>
        <v>2114536.23</v>
      </c>
    </row>
    <row r="109" spans="1:8" x14ac:dyDescent="0.2">
      <c r="A109" s="5" t="s">
        <v>148</v>
      </c>
      <c r="B109" s="4">
        <v>45997</v>
      </c>
      <c r="C109" s="2" t="s">
        <v>149</v>
      </c>
      <c r="D109" s="12">
        <v>9780.85</v>
      </c>
      <c r="E109" s="13">
        <v>0</v>
      </c>
      <c r="F109" s="19" t="str" cm="1">
        <f t="array" ref="F109">IFERROR(LOOKUP(2^15,SEARCH(CategoryMap[Keyword],BankTransactions[[#This Row],[Description]]),CategoryMap[Category]),"Other")</f>
        <v>Customer Receipts</v>
      </c>
      <c r="G109" s="6">
        <f>BankTransactions[[#This Row],[Credit (SAR)]]-BankTransactions[[#This Row],[Debit (SAR)]]</f>
        <v>9780.85</v>
      </c>
      <c r="H109" s="6">
        <f>Opening+SUM(INDEX(BankTransactions[Net (SAR)],1):BankTransactions[[#This Row],[Net (SAR)]])</f>
        <v>2124317.08</v>
      </c>
    </row>
    <row r="110" spans="1:8" x14ac:dyDescent="0.2">
      <c r="A110" s="5" t="s">
        <v>150</v>
      </c>
      <c r="B110" s="4">
        <v>45997</v>
      </c>
      <c r="C110" s="2" t="s">
        <v>3</v>
      </c>
      <c r="D110" s="12">
        <v>0</v>
      </c>
      <c r="E110" s="13">
        <v>11882.11</v>
      </c>
      <c r="F110" s="19" t="str" cm="1">
        <f t="array" ref="F110">IFERROR(LOOKUP(2^15,SEARCH(CategoryMap[Keyword],BankTransactions[[#This Row],[Description]]),CategoryMap[Category]),"Other")</f>
        <v>Supplier Payments</v>
      </c>
      <c r="G110" s="6">
        <f>BankTransactions[[#This Row],[Credit (SAR)]]-BankTransactions[[#This Row],[Debit (SAR)]]</f>
        <v>-11882.11</v>
      </c>
      <c r="H110" s="6">
        <f>Opening+SUM(INDEX(BankTransactions[Net (SAR)],1):BankTransactions[[#This Row],[Net (SAR)]])</f>
        <v>2112434.9700000002</v>
      </c>
    </row>
    <row r="111" spans="1:8" x14ac:dyDescent="0.2">
      <c r="A111" s="5" t="s">
        <v>151</v>
      </c>
      <c r="B111" s="4">
        <v>45998</v>
      </c>
      <c r="C111" s="2" t="s">
        <v>10</v>
      </c>
      <c r="D111" s="12">
        <v>0</v>
      </c>
      <c r="E111" s="13">
        <v>17970.810000000001</v>
      </c>
      <c r="F111" s="19" t="str" cm="1">
        <f t="array" ref="F111">IFERROR(LOOKUP(2^15,SEARCH(CategoryMap[Keyword],BankTransactions[[#This Row],[Description]]),CategoryMap[Category]),"Other")</f>
        <v>Fuel &amp; Logistics</v>
      </c>
      <c r="G111" s="6">
        <f>BankTransactions[[#This Row],[Credit (SAR)]]-BankTransactions[[#This Row],[Debit (SAR)]]</f>
        <v>-17970.810000000001</v>
      </c>
      <c r="H111" s="6">
        <f>Opening+SUM(INDEX(BankTransactions[Net (SAR)],1):BankTransactions[[#This Row],[Net (SAR)]])</f>
        <v>2094464.1600000001</v>
      </c>
    </row>
    <row r="112" spans="1:8" x14ac:dyDescent="0.2">
      <c r="A112" s="5" t="s">
        <v>152</v>
      </c>
      <c r="B112" s="4">
        <v>45999</v>
      </c>
      <c r="C112" s="2" t="s">
        <v>153</v>
      </c>
      <c r="D112" s="12">
        <v>4453.2</v>
      </c>
      <c r="E112" s="13">
        <v>0</v>
      </c>
      <c r="F112" s="19" t="str" cm="1">
        <f t="array" ref="F112">IFERROR(LOOKUP(2^15,SEARCH(CategoryMap[Keyword],BankTransactions[[#This Row],[Description]]),CategoryMap[Category]),"Other")</f>
        <v>Customer Receipts</v>
      </c>
      <c r="G112" s="6">
        <f>BankTransactions[[#This Row],[Credit (SAR)]]-BankTransactions[[#This Row],[Debit (SAR)]]</f>
        <v>4453.2</v>
      </c>
      <c r="H112" s="6">
        <f>Opening+SUM(INDEX(BankTransactions[Net (SAR)],1):BankTransactions[[#This Row],[Net (SAR)]])</f>
        <v>2098917.3600000003</v>
      </c>
    </row>
    <row r="113" spans="1:8" x14ac:dyDescent="0.2">
      <c r="A113" s="5" t="s">
        <v>154</v>
      </c>
      <c r="B113" s="4">
        <v>45999</v>
      </c>
      <c r="C113" s="2" t="s">
        <v>155</v>
      </c>
      <c r="D113" s="12">
        <v>1985.8</v>
      </c>
      <c r="E113" s="13">
        <v>0</v>
      </c>
      <c r="F113" s="19" t="str" cm="1">
        <f t="array" ref="F113">IFERROR(LOOKUP(2^15,SEARCH(CategoryMap[Keyword],BankTransactions[[#This Row],[Description]]),CategoryMap[Category]),"Other")</f>
        <v>Customer Receipts</v>
      </c>
      <c r="G113" s="6">
        <f>BankTransactions[[#This Row],[Credit (SAR)]]-BankTransactions[[#This Row],[Debit (SAR)]]</f>
        <v>1985.8</v>
      </c>
      <c r="H113" s="6">
        <f>Opening+SUM(INDEX(BankTransactions[Net (SAR)],1):BankTransactions[[#This Row],[Net (SAR)]])</f>
        <v>2100903.16</v>
      </c>
    </row>
    <row r="114" spans="1:8" x14ac:dyDescent="0.2">
      <c r="A114" s="5" t="s">
        <v>156</v>
      </c>
      <c r="B114" s="4">
        <v>45999</v>
      </c>
      <c r="C114" s="2" t="s">
        <v>157</v>
      </c>
      <c r="D114" s="12">
        <v>1319.24</v>
      </c>
      <c r="E114" s="13">
        <v>0</v>
      </c>
      <c r="F114" s="19" t="str" cm="1">
        <f t="array" ref="F114">IFERROR(LOOKUP(2^15,SEARCH(CategoryMap[Keyword],BankTransactions[[#This Row],[Description]]),CategoryMap[Category]),"Other")</f>
        <v>Customer Receipts</v>
      </c>
      <c r="G114" s="6">
        <f>BankTransactions[[#This Row],[Credit (SAR)]]-BankTransactions[[#This Row],[Debit (SAR)]]</f>
        <v>1319.24</v>
      </c>
      <c r="H114" s="6">
        <f>Opening+SUM(INDEX(BankTransactions[Net (SAR)],1):BankTransactions[[#This Row],[Net (SAR)]])</f>
        <v>2102222.4000000004</v>
      </c>
    </row>
    <row r="115" spans="1:8" x14ac:dyDescent="0.2">
      <c r="A115" s="5" t="s">
        <v>158</v>
      </c>
      <c r="B115" s="4">
        <v>45999</v>
      </c>
      <c r="C115" s="2" t="s">
        <v>10</v>
      </c>
      <c r="D115" s="12">
        <v>0</v>
      </c>
      <c r="E115" s="13">
        <v>16185.13</v>
      </c>
      <c r="F115" s="19" t="str" cm="1">
        <f t="array" ref="F115">IFERROR(LOOKUP(2^15,SEARCH(CategoryMap[Keyword],BankTransactions[[#This Row],[Description]]),CategoryMap[Category]),"Other")</f>
        <v>Fuel &amp; Logistics</v>
      </c>
      <c r="G115" s="6">
        <f>BankTransactions[[#This Row],[Credit (SAR)]]-BankTransactions[[#This Row],[Debit (SAR)]]</f>
        <v>-16185.13</v>
      </c>
      <c r="H115" s="6">
        <f>Opening+SUM(INDEX(BankTransactions[Net (SAR)],1):BankTransactions[[#This Row],[Net (SAR)]])</f>
        <v>2086037.27</v>
      </c>
    </row>
    <row r="116" spans="1:8" x14ac:dyDescent="0.2">
      <c r="A116" s="5" t="s">
        <v>159</v>
      </c>
      <c r="B116" s="4">
        <v>46000</v>
      </c>
      <c r="C116" s="2" t="s">
        <v>160</v>
      </c>
      <c r="D116" s="12">
        <v>29611.52</v>
      </c>
      <c r="E116" s="13">
        <v>0</v>
      </c>
      <c r="F116" s="19" t="str" cm="1">
        <f t="array" ref="F116">IFERROR(LOOKUP(2^15,SEARCH(CategoryMap[Keyword],BankTransactions[[#This Row],[Description]]),CategoryMap[Category]),"Other")</f>
        <v>Customer Receipts</v>
      </c>
      <c r="G116" s="6">
        <f>BankTransactions[[#This Row],[Credit (SAR)]]-BankTransactions[[#This Row],[Debit (SAR)]]</f>
        <v>29611.52</v>
      </c>
      <c r="H116" s="6">
        <f>Opening+SUM(INDEX(BankTransactions[Net (SAR)],1):BankTransactions[[#This Row],[Net (SAR)]])</f>
        <v>2115648.79</v>
      </c>
    </row>
    <row r="117" spans="1:8" x14ac:dyDescent="0.2">
      <c r="A117" s="5" t="s">
        <v>161</v>
      </c>
      <c r="B117" s="4">
        <v>46000</v>
      </c>
      <c r="C117" s="2" t="s">
        <v>162</v>
      </c>
      <c r="D117" s="12">
        <v>17875.29</v>
      </c>
      <c r="E117" s="13">
        <v>0</v>
      </c>
      <c r="F117" s="19" t="str" cm="1">
        <f t="array" ref="F117">IFERROR(LOOKUP(2^15,SEARCH(CategoryMap[Keyword],BankTransactions[[#This Row],[Description]]),CategoryMap[Category]),"Other")</f>
        <v>Customer Receipts</v>
      </c>
      <c r="G117" s="6">
        <f>BankTransactions[[#This Row],[Credit (SAR)]]-BankTransactions[[#This Row],[Debit (SAR)]]</f>
        <v>17875.29</v>
      </c>
      <c r="H117" s="6">
        <f>Opening+SUM(INDEX(BankTransactions[Net (SAR)],1):BankTransactions[[#This Row],[Net (SAR)]])</f>
        <v>2133524.08</v>
      </c>
    </row>
    <row r="118" spans="1:8" x14ac:dyDescent="0.2">
      <c r="A118" s="5" t="s">
        <v>163</v>
      </c>
      <c r="B118" s="4">
        <v>46000</v>
      </c>
      <c r="C118" s="2" t="s">
        <v>12</v>
      </c>
      <c r="D118" s="12">
        <v>17368.560000000001</v>
      </c>
      <c r="E118" s="13">
        <v>0</v>
      </c>
      <c r="F118" s="19" t="str" cm="1">
        <f t="array" ref="F118">IFERROR(LOOKUP(2^15,SEARCH(CategoryMap[Keyword],BankTransactions[[#This Row],[Description]]),CategoryMap[Category]),"Other")</f>
        <v>Cash Deposits</v>
      </c>
      <c r="G118" s="6">
        <f>BankTransactions[[#This Row],[Credit (SAR)]]-BankTransactions[[#This Row],[Debit (SAR)]]</f>
        <v>17368.560000000001</v>
      </c>
      <c r="H118" s="6">
        <f>Opening+SUM(INDEX(BankTransactions[Net (SAR)],1):BankTransactions[[#This Row],[Net (SAR)]])</f>
        <v>2150892.64</v>
      </c>
    </row>
    <row r="119" spans="1:8" x14ac:dyDescent="0.2">
      <c r="A119" s="5" t="s">
        <v>164</v>
      </c>
      <c r="B119" s="4">
        <v>46001</v>
      </c>
      <c r="C119" s="2" t="s">
        <v>165</v>
      </c>
      <c r="D119" s="12">
        <v>3623.68</v>
      </c>
      <c r="E119" s="13">
        <v>0</v>
      </c>
      <c r="F119" s="19" t="str" cm="1">
        <f t="array" ref="F119">IFERROR(LOOKUP(2^15,SEARCH(CategoryMap[Keyword],BankTransactions[[#This Row],[Description]]),CategoryMap[Category]),"Other")</f>
        <v>Customer Receipts</v>
      </c>
      <c r="G119" s="6">
        <f>BankTransactions[[#This Row],[Credit (SAR)]]-BankTransactions[[#This Row],[Debit (SAR)]]</f>
        <v>3623.68</v>
      </c>
      <c r="H119" s="6">
        <f>Opening+SUM(INDEX(BankTransactions[Net (SAR)],1):BankTransactions[[#This Row],[Net (SAR)]])</f>
        <v>2154516.3200000003</v>
      </c>
    </row>
    <row r="120" spans="1:8" x14ac:dyDescent="0.2">
      <c r="A120" s="5" t="s">
        <v>166</v>
      </c>
      <c r="B120" s="4">
        <v>46001</v>
      </c>
      <c r="C120" s="2" t="s">
        <v>167</v>
      </c>
      <c r="D120" s="12">
        <v>18642</v>
      </c>
      <c r="E120" s="13">
        <v>0</v>
      </c>
      <c r="F120" s="19" t="str" cm="1">
        <f t="array" ref="F120">IFERROR(LOOKUP(2^15,SEARCH(CategoryMap[Keyword],BankTransactions[[#This Row],[Description]]),CategoryMap[Category]),"Other")</f>
        <v>Customer Receipts</v>
      </c>
      <c r="G120" s="6">
        <f>BankTransactions[[#This Row],[Credit (SAR)]]-BankTransactions[[#This Row],[Debit (SAR)]]</f>
        <v>18642</v>
      </c>
      <c r="H120" s="6">
        <f>Opening+SUM(INDEX(BankTransactions[Net (SAR)],1):BankTransactions[[#This Row],[Net (SAR)]])</f>
        <v>2173158.3200000003</v>
      </c>
    </row>
    <row r="121" spans="1:8" x14ac:dyDescent="0.2">
      <c r="A121" s="5" t="s">
        <v>168</v>
      </c>
      <c r="B121" s="4">
        <v>46001</v>
      </c>
      <c r="C121" s="2" t="s">
        <v>12</v>
      </c>
      <c r="D121" s="12">
        <v>12937.14</v>
      </c>
      <c r="E121" s="13">
        <v>0</v>
      </c>
      <c r="F121" s="19" t="str" cm="1">
        <f t="array" ref="F121">IFERROR(LOOKUP(2^15,SEARCH(CategoryMap[Keyword],BankTransactions[[#This Row],[Description]]),CategoryMap[Category]),"Other")</f>
        <v>Cash Deposits</v>
      </c>
      <c r="G121" s="6">
        <f>BankTransactions[[#This Row],[Credit (SAR)]]-BankTransactions[[#This Row],[Debit (SAR)]]</f>
        <v>12937.14</v>
      </c>
      <c r="H121" s="6">
        <f>Opening+SUM(INDEX(BankTransactions[Net (SAR)],1):BankTransactions[[#This Row],[Net (SAR)]])</f>
        <v>2186095.46</v>
      </c>
    </row>
    <row r="122" spans="1:8" x14ac:dyDescent="0.2">
      <c r="A122" s="5" t="s">
        <v>169</v>
      </c>
      <c r="B122" s="4">
        <v>46001</v>
      </c>
      <c r="C122" s="2" t="s">
        <v>3</v>
      </c>
      <c r="D122" s="12">
        <v>0</v>
      </c>
      <c r="E122" s="13">
        <v>24074.02</v>
      </c>
      <c r="F122" s="19" t="str" cm="1">
        <f t="array" ref="F122">IFERROR(LOOKUP(2^15,SEARCH(CategoryMap[Keyword],BankTransactions[[#This Row],[Description]]),CategoryMap[Category]),"Other")</f>
        <v>Supplier Payments</v>
      </c>
      <c r="G122" s="6">
        <f>BankTransactions[[#This Row],[Credit (SAR)]]-BankTransactions[[#This Row],[Debit (SAR)]]</f>
        <v>-24074.02</v>
      </c>
      <c r="H122" s="6">
        <f>Opening+SUM(INDEX(BankTransactions[Net (SAR)],1):BankTransactions[[#This Row],[Net (SAR)]])</f>
        <v>2162021.44</v>
      </c>
    </row>
    <row r="123" spans="1:8" x14ac:dyDescent="0.2">
      <c r="A123" s="5" t="s">
        <v>170</v>
      </c>
      <c r="B123" s="4">
        <v>46002</v>
      </c>
      <c r="C123" s="2" t="s">
        <v>171</v>
      </c>
      <c r="D123" s="12">
        <v>2705.01</v>
      </c>
      <c r="E123" s="13">
        <v>0</v>
      </c>
      <c r="F123" s="19" t="str" cm="1">
        <f t="array" ref="F123">IFERROR(LOOKUP(2^15,SEARCH(CategoryMap[Keyword],BankTransactions[[#This Row],[Description]]),CategoryMap[Category]),"Other")</f>
        <v>Customer Receipts</v>
      </c>
      <c r="G123" s="6">
        <f>BankTransactions[[#This Row],[Credit (SAR)]]-BankTransactions[[#This Row],[Debit (SAR)]]</f>
        <v>2705.01</v>
      </c>
      <c r="H123" s="6">
        <f>Opening+SUM(INDEX(BankTransactions[Net (SAR)],1):BankTransactions[[#This Row],[Net (SAR)]])</f>
        <v>2164726.4500000002</v>
      </c>
    </row>
    <row r="124" spans="1:8" x14ac:dyDescent="0.2">
      <c r="A124" s="5" t="s">
        <v>172</v>
      </c>
      <c r="B124" s="4">
        <v>46002</v>
      </c>
      <c r="C124" s="2" t="s">
        <v>7</v>
      </c>
      <c r="D124" s="12">
        <v>0</v>
      </c>
      <c r="E124" s="13">
        <v>19427.07</v>
      </c>
      <c r="F124" s="19" t="str" cm="1">
        <f t="array" ref="F124">IFERROR(LOOKUP(2^15,SEARCH(CategoryMap[Keyword],BankTransactions[[#This Row],[Description]]),CategoryMap[Category]),"Other")</f>
        <v>Supplier Payments</v>
      </c>
      <c r="G124" s="6">
        <f>BankTransactions[[#This Row],[Credit (SAR)]]-BankTransactions[[#This Row],[Debit (SAR)]]</f>
        <v>-19427.07</v>
      </c>
      <c r="H124" s="6">
        <f>Opening+SUM(INDEX(BankTransactions[Net (SAR)],1):BankTransactions[[#This Row],[Net (SAR)]])</f>
        <v>2145299.38</v>
      </c>
    </row>
    <row r="125" spans="1:8" x14ac:dyDescent="0.2">
      <c r="A125" s="5" t="s">
        <v>173</v>
      </c>
      <c r="B125" s="4">
        <v>46003</v>
      </c>
      <c r="C125" s="2" t="s">
        <v>174</v>
      </c>
      <c r="D125" s="12">
        <v>2812.87</v>
      </c>
      <c r="E125" s="13">
        <v>0</v>
      </c>
      <c r="F125" s="19" t="str" cm="1">
        <f t="array" ref="F125">IFERROR(LOOKUP(2^15,SEARCH(CategoryMap[Keyword],BankTransactions[[#This Row],[Description]]),CategoryMap[Category]),"Other")</f>
        <v>Customer Receipts</v>
      </c>
      <c r="G125" s="6">
        <f>BankTransactions[[#This Row],[Credit (SAR)]]-BankTransactions[[#This Row],[Debit (SAR)]]</f>
        <v>2812.87</v>
      </c>
      <c r="H125" s="6">
        <f>Opening+SUM(INDEX(BankTransactions[Net (SAR)],1):BankTransactions[[#This Row],[Net (SAR)]])</f>
        <v>2148112.25</v>
      </c>
    </row>
    <row r="126" spans="1:8" x14ac:dyDescent="0.2">
      <c r="A126" s="5" t="s">
        <v>175</v>
      </c>
      <c r="B126" s="4">
        <v>46004</v>
      </c>
      <c r="C126" s="2" t="s">
        <v>171</v>
      </c>
      <c r="D126" s="12">
        <v>2204.31</v>
      </c>
      <c r="E126" s="13">
        <v>0</v>
      </c>
      <c r="F126" s="19" t="str" cm="1">
        <f t="array" ref="F126">IFERROR(LOOKUP(2^15,SEARCH(CategoryMap[Keyword],BankTransactions[[#This Row],[Description]]),CategoryMap[Category]),"Other")</f>
        <v>Customer Receipts</v>
      </c>
      <c r="G126" s="6">
        <f>BankTransactions[[#This Row],[Credit (SAR)]]-BankTransactions[[#This Row],[Debit (SAR)]]</f>
        <v>2204.31</v>
      </c>
      <c r="H126" s="6">
        <f>Opening+SUM(INDEX(BankTransactions[Net (SAR)],1):BankTransactions[[#This Row],[Net (SAR)]])</f>
        <v>2150316.56</v>
      </c>
    </row>
    <row r="127" spans="1:8" x14ac:dyDescent="0.2">
      <c r="A127" s="5" t="s">
        <v>176</v>
      </c>
      <c r="B127" s="4">
        <v>46004</v>
      </c>
      <c r="C127" s="2" t="s">
        <v>177</v>
      </c>
      <c r="D127" s="12">
        <v>10537.53</v>
      </c>
      <c r="E127" s="13">
        <v>0</v>
      </c>
      <c r="F127" s="19" t="str" cm="1">
        <f t="array" ref="F127">IFERROR(LOOKUP(2^15,SEARCH(CategoryMap[Keyword],BankTransactions[[#This Row],[Description]]),CategoryMap[Category]),"Other")</f>
        <v>Customer Receipts</v>
      </c>
      <c r="G127" s="6">
        <f>BankTransactions[[#This Row],[Credit (SAR)]]-BankTransactions[[#This Row],[Debit (SAR)]]</f>
        <v>10537.53</v>
      </c>
      <c r="H127" s="6">
        <f>Opening+SUM(INDEX(BankTransactions[Net (SAR)],1):BankTransactions[[#This Row],[Net (SAR)]])</f>
        <v>2160854.0900000003</v>
      </c>
    </row>
    <row r="128" spans="1:8" x14ac:dyDescent="0.2">
      <c r="A128" s="5" t="s">
        <v>178</v>
      </c>
      <c r="B128" s="4">
        <v>46004</v>
      </c>
      <c r="C128" s="2" t="s">
        <v>7</v>
      </c>
      <c r="D128" s="12">
        <v>0</v>
      </c>
      <c r="E128" s="13">
        <v>29348.04</v>
      </c>
      <c r="F128" s="19" t="str" cm="1">
        <f t="array" ref="F128">IFERROR(LOOKUP(2^15,SEARCH(CategoryMap[Keyword],BankTransactions[[#This Row],[Description]]),CategoryMap[Category]),"Other")</f>
        <v>Supplier Payments</v>
      </c>
      <c r="G128" s="6">
        <f>BankTransactions[[#This Row],[Credit (SAR)]]-BankTransactions[[#This Row],[Debit (SAR)]]</f>
        <v>-29348.04</v>
      </c>
      <c r="H128" s="6">
        <f>Opening+SUM(INDEX(BankTransactions[Net (SAR)],1):BankTransactions[[#This Row],[Net (SAR)]])</f>
        <v>2131506.0500000003</v>
      </c>
    </row>
    <row r="129" spans="1:8" x14ac:dyDescent="0.2">
      <c r="A129" s="5" t="s">
        <v>179</v>
      </c>
      <c r="B129" s="4">
        <v>46005</v>
      </c>
      <c r="C129" s="2" t="s">
        <v>180</v>
      </c>
      <c r="D129" s="12">
        <v>3100.07</v>
      </c>
      <c r="E129" s="13">
        <v>0</v>
      </c>
      <c r="F129" s="19" t="str" cm="1">
        <f t="array" ref="F129">IFERROR(LOOKUP(2^15,SEARCH(CategoryMap[Keyword],BankTransactions[[#This Row],[Description]]),CategoryMap[Category]),"Other")</f>
        <v>Customer Receipts</v>
      </c>
      <c r="G129" s="6">
        <f>BankTransactions[[#This Row],[Credit (SAR)]]-BankTransactions[[#This Row],[Debit (SAR)]]</f>
        <v>3100.07</v>
      </c>
      <c r="H129" s="6">
        <f>Opening+SUM(INDEX(BankTransactions[Net (SAR)],1):BankTransactions[[#This Row],[Net (SAR)]])</f>
        <v>2134606.12</v>
      </c>
    </row>
    <row r="130" spans="1:8" x14ac:dyDescent="0.2">
      <c r="A130" s="5" t="s">
        <v>181</v>
      </c>
      <c r="B130" s="4">
        <v>46005</v>
      </c>
      <c r="C130" s="2" t="s">
        <v>182</v>
      </c>
      <c r="D130" s="12">
        <v>3698.42</v>
      </c>
      <c r="E130" s="13">
        <v>0</v>
      </c>
      <c r="F130" s="19" t="str" cm="1">
        <f t="array" ref="F130">IFERROR(LOOKUP(2^15,SEARCH(CategoryMap[Keyword],BankTransactions[[#This Row],[Description]]),CategoryMap[Category]),"Other")</f>
        <v>Customer Receipts</v>
      </c>
      <c r="G130" s="6">
        <f>BankTransactions[[#This Row],[Credit (SAR)]]-BankTransactions[[#This Row],[Debit (SAR)]]</f>
        <v>3698.42</v>
      </c>
      <c r="H130" s="6">
        <f>Opening+SUM(INDEX(BankTransactions[Net (SAR)],1):BankTransactions[[#This Row],[Net (SAR)]])</f>
        <v>2138304.54</v>
      </c>
    </row>
    <row r="131" spans="1:8" x14ac:dyDescent="0.2">
      <c r="A131" s="5" t="s">
        <v>183</v>
      </c>
      <c r="B131" s="4">
        <v>46005</v>
      </c>
      <c r="C131" s="2" t="s">
        <v>3</v>
      </c>
      <c r="D131" s="12">
        <v>0</v>
      </c>
      <c r="E131" s="13">
        <v>20347.57</v>
      </c>
      <c r="F131" s="19" t="str" cm="1">
        <f t="array" ref="F131">IFERROR(LOOKUP(2^15,SEARCH(CategoryMap[Keyword],BankTransactions[[#This Row],[Description]]),CategoryMap[Category]),"Other")</f>
        <v>Supplier Payments</v>
      </c>
      <c r="G131" s="6">
        <f>BankTransactions[[#This Row],[Credit (SAR)]]-BankTransactions[[#This Row],[Debit (SAR)]]</f>
        <v>-20347.57</v>
      </c>
      <c r="H131" s="6">
        <f>Opening+SUM(INDEX(BankTransactions[Net (SAR)],1):BankTransactions[[#This Row],[Net (SAR)]])</f>
        <v>2117956.9700000002</v>
      </c>
    </row>
    <row r="132" spans="1:8" x14ac:dyDescent="0.2">
      <c r="A132" s="5" t="s">
        <v>184</v>
      </c>
      <c r="B132" s="4">
        <v>46006</v>
      </c>
      <c r="C132" s="2" t="s">
        <v>171</v>
      </c>
      <c r="D132" s="12">
        <v>1047.9000000000001</v>
      </c>
      <c r="E132" s="13">
        <v>0</v>
      </c>
      <c r="F132" s="19" t="str" cm="1">
        <f t="array" ref="F132">IFERROR(LOOKUP(2^15,SEARCH(CategoryMap[Keyword],BankTransactions[[#This Row],[Description]]),CategoryMap[Category]),"Other")</f>
        <v>Customer Receipts</v>
      </c>
      <c r="G132" s="6">
        <f>BankTransactions[[#This Row],[Credit (SAR)]]-BankTransactions[[#This Row],[Debit (SAR)]]</f>
        <v>1047.9000000000001</v>
      </c>
      <c r="H132" s="6">
        <f>Opening+SUM(INDEX(BankTransactions[Net (SAR)],1):BankTransactions[[#This Row],[Net (SAR)]])</f>
        <v>2119004.87</v>
      </c>
    </row>
    <row r="133" spans="1:8" x14ac:dyDescent="0.2">
      <c r="A133" s="5" t="s">
        <v>185</v>
      </c>
      <c r="B133" s="4">
        <v>46006</v>
      </c>
      <c r="C133" s="2" t="s">
        <v>186</v>
      </c>
      <c r="D133" s="12">
        <v>4617.7</v>
      </c>
      <c r="E133" s="13">
        <v>0</v>
      </c>
      <c r="F133" s="19" t="str" cm="1">
        <f t="array" ref="F133">IFERROR(LOOKUP(2^15,SEARCH(CategoryMap[Keyword],BankTransactions[[#This Row],[Description]]),CategoryMap[Category]),"Other")</f>
        <v>Customer Receipts</v>
      </c>
      <c r="G133" s="6">
        <f>BankTransactions[[#This Row],[Credit (SAR)]]-BankTransactions[[#This Row],[Debit (SAR)]]</f>
        <v>4617.7</v>
      </c>
      <c r="H133" s="6">
        <f>Opening+SUM(INDEX(BankTransactions[Net (SAR)],1):BankTransactions[[#This Row],[Net (SAR)]])</f>
        <v>2123622.5700000003</v>
      </c>
    </row>
    <row r="134" spans="1:8" x14ac:dyDescent="0.2">
      <c r="A134" s="5" t="s">
        <v>187</v>
      </c>
      <c r="B134" s="4">
        <v>46006</v>
      </c>
      <c r="C134" s="2" t="s">
        <v>188</v>
      </c>
      <c r="D134" s="12">
        <v>3260.95</v>
      </c>
      <c r="E134" s="13">
        <v>0</v>
      </c>
      <c r="F134" s="19" t="str" cm="1">
        <f t="array" ref="F134">IFERROR(LOOKUP(2^15,SEARCH(CategoryMap[Keyword],BankTransactions[[#This Row],[Description]]),CategoryMap[Category]),"Other")</f>
        <v>Customer Receipts</v>
      </c>
      <c r="G134" s="6">
        <f>BankTransactions[[#This Row],[Credit (SAR)]]-BankTransactions[[#This Row],[Debit (SAR)]]</f>
        <v>3260.95</v>
      </c>
      <c r="H134" s="6">
        <f>Opening+SUM(INDEX(BankTransactions[Net (SAR)],1):BankTransactions[[#This Row],[Net (SAR)]])</f>
        <v>2126883.52</v>
      </c>
    </row>
    <row r="135" spans="1:8" x14ac:dyDescent="0.2">
      <c r="A135" s="5" t="s">
        <v>189</v>
      </c>
      <c r="B135" s="4">
        <v>46007</v>
      </c>
      <c r="C135" s="2" t="s">
        <v>190</v>
      </c>
      <c r="D135" s="12">
        <v>4362.88</v>
      </c>
      <c r="E135" s="13">
        <v>0</v>
      </c>
      <c r="F135" s="19" t="str" cm="1">
        <f t="array" ref="F135">IFERROR(LOOKUP(2^15,SEARCH(CategoryMap[Keyword],BankTransactions[[#This Row],[Description]]),CategoryMap[Category]),"Other")</f>
        <v>Customer Receipts</v>
      </c>
      <c r="G135" s="6">
        <f>BankTransactions[[#This Row],[Credit (SAR)]]-BankTransactions[[#This Row],[Debit (SAR)]]</f>
        <v>4362.88</v>
      </c>
      <c r="H135" s="6">
        <f>Opening+SUM(INDEX(BankTransactions[Net (SAR)],1):BankTransactions[[#This Row],[Net (SAR)]])</f>
        <v>2131246.4000000004</v>
      </c>
    </row>
    <row r="136" spans="1:8" x14ac:dyDescent="0.2">
      <c r="A136" s="5" t="s">
        <v>191</v>
      </c>
      <c r="B136" s="4">
        <v>46008</v>
      </c>
      <c r="C136" s="2" t="s">
        <v>192</v>
      </c>
      <c r="D136" s="12">
        <v>2627.27</v>
      </c>
      <c r="E136" s="13">
        <v>0</v>
      </c>
      <c r="F136" s="19" t="str" cm="1">
        <f t="array" ref="F136">IFERROR(LOOKUP(2^15,SEARCH(CategoryMap[Keyword],BankTransactions[[#This Row],[Description]]),CategoryMap[Category]),"Other")</f>
        <v>Customer Receipts</v>
      </c>
      <c r="G136" s="6">
        <f>BankTransactions[[#This Row],[Credit (SAR)]]-BankTransactions[[#This Row],[Debit (SAR)]]</f>
        <v>2627.27</v>
      </c>
      <c r="H136" s="6">
        <f>Opening+SUM(INDEX(BankTransactions[Net (SAR)],1):BankTransactions[[#This Row],[Net (SAR)]])</f>
        <v>2133873.6700000004</v>
      </c>
    </row>
    <row r="137" spans="1:8" x14ac:dyDescent="0.2">
      <c r="A137" s="5" t="s">
        <v>193</v>
      </c>
      <c r="B137" s="4">
        <v>46008</v>
      </c>
      <c r="C137" s="2" t="s">
        <v>3</v>
      </c>
      <c r="D137" s="12">
        <v>0</v>
      </c>
      <c r="E137" s="13">
        <v>29965.360000000001</v>
      </c>
      <c r="F137" s="19" t="str" cm="1">
        <f t="array" ref="F137">IFERROR(LOOKUP(2^15,SEARCH(CategoryMap[Keyword],BankTransactions[[#This Row],[Description]]),CategoryMap[Category]),"Other")</f>
        <v>Supplier Payments</v>
      </c>
      <c r="G137" s="6">
        <f>BankTransactions[[#This Row],[Credit (SAR)]]-BankTransactions[[#This Row],[Debit (SAR)]]</f>
        <v>-29965.360000000001</v>
      </c>
      <c r="H137" s="6">
        <f>Opening+SUM(INDEX(BankTransactions[Net (SAR)],1):BankTransactions[[#This Row],[Net (SAR)]])</f>
        <v>2103908.31</v>
      </c>
    </row>
    <row r="138" spans="1:8" x14ac:dyDescent="0.2">
      <c r="A138" s="5" t="s">
        <v>194</v>
      </c>
      <c r="B138" s="4">
        <v>46009</v>
      </c>
      <c r="C138" s="2" t="s">
        <v>195</v>
      </c>
      <c r="D138" s="12">
        <v>5664.7</v>
      </c>
      <c r="E138" s="13">
        <v>0</v>
      </c>
      <c r="F138" s="19" t="str" cm="1">
        <f t="array" ref="F138">IFERROR(LOOKUP(2^15,SEARCH(CategoryMap[Keyword],BankTransactions[[#This Row],[Description]]),CategoryMap[Category]),"Other")</f>
        <v>Customer Receipts</v>
      </c>
      <c r="G138" s="6">
        <f>BankTransactions[[#This Row],[Credit (SAR)]]-BankTransactions[[#This Row],[Debit (SAR)]]</f>
        <v>5664.7</v>
      </c>
      <c r="H138" s="6">
        <f>Opening+SUM(INDEX(BankTransactions[Net (SAR)],1):BankTransactions[[#This Row],[Net (SAR)]])</f>
        <v>2109573.0100000002</v>
      </c>
    </row>
    <row r="139" spans="1:8" x14ac:dyDescent="0.2">
      <c r="A139" s="5" t="s">
        <v>196</v>
      </c>
      <c r="B139" s="4">
        <v>46009</v>
      </c>
      <c r="C139" s="2" t="s">
        <v>197</v>
      </c>
      <c r="D139" s="12">
        <v>4614.18</v>
      </c>
      <c r="E139" s="13">
        <v>0</v>
      </c>
      <c r="F139" s="19" t="str" cm="1">
        <f t="array" ref="F139">IFERROR(LOOKUP(2^15,SEARCH(CategoryMap[Keyword],BankTransactions[[#This Row],[Description]]),CategoryMap[Category]),"Other")</f>
        <v>Customer Receipts</v>
      </c>
      <c r="G139" s="6">
        <f>BankTransactions[[#This Row],[Credit (SAR)]]-BankTransactions[[#This Row],[Debit (SAR)]]</f>
        <v>4614.18</v>
      </c>
      <c r="H139" s="6">
        <f>Opening+SUM(INDEX(BankTransactions[Net (SAR)],1):BankTransactions[[#This Row],[Net (SAR)]])</f>
        <v>2114187.1900000004</v>
      </c>
    </row>
    <row r="140" spans="1:8" x14ac:dyDescent="0.2">
      <c r="A140" s="5" t="s">
        <v>198</v>
      </c>
      <c r="B140" s="4">
        <v>46009</v>
      </c>
      <c r="C140" s="2" t="s">
        <v>199</v>
      </c>
      <c r="D140" s="12">
        <v>7069.96</v>
      </c>
      <c r="E140" s="13">
        <v>0</v>
      </c>
      <c r="F140" s="19" t="str" cm="1">
        <f t="array" ref="F140">IFERROR(LOOKUP(2^15,SEARCH(CategoryMap[Keyword],BankTransactions[[#This Row],[Description]]),CategoryMap[Category]),"Other")</f>
        <v>Customer Receipts</v>
      </c>
      <c r="G140" s="6">
        <f>BankTransactions[[#This Row],[Credit (SAR)]]-BankTransactions[[#This Row],[Debit (SAR)]]</f>
        <v>7069.96</v>
      </c>
      <c r="H140" s="6">
        <f>Opening+SUM(INDEX(BankTransactions[Net (SAR)],1):BankTransactions[[#This Row],[Net (SAR)]])</f>
        <v>2121257.1500000004</v>
      </c>
    </row>
    <row r="141" spans="1:8" x14ac:dyDescent="0.2">
      <c r="A141" s="5" t="s">
        <v>200</v>
      </c>
      <c r="B141" s="4">
        <v>46009</v>
      </c>
      <c r="C141" s="2" t="s">
        <v>188</v>
      </c>
      <c r="D141" s="12">
        <v>17627.62</v>
      </c>
      <c r="E141" s="13">
        <v>0</v>
      </c>
      <c r="F141" s="19" t="str" cm="1">
        <f t="array" ref="F141">IFERROR(LOOKUP(2^15,SEARCH(CategoryMap[Keyword],BankTransactions[[#This Row],[Description]]),CategoryMap[Category]),"Other")</f>
        <v>Customer Receipts</v>
      </c>
      <c r="G141" s="6">
        <f>BankTransactions[[#This Row],[Credit (SAR)]]-BankTransactions[[#This Row],[Debit (SAR)]]</f>
        <v>17627.62</v>
      </c>
      <c r="H141" s="6">
        <f>Opening+SUM(INDEX(BankTransactions[Net (SAR)],1):BankTransactions[[#This Row],[Net (SAR)]])</f>
        <v>2138884.7700000005</v>
      </c>
    </row>
    <row r="142" spans="1:8" x14ac:dyDescent="0.2">
      <c r="A142" s="5" t="s">
        <v>201</v>
      </c>
      <c r="B142" s="4">
        <v>46010</v>
      </c>
      <c r="C142" s="2" t="s">
        <v>7</v>
      </c>
      <c r="D142" s="12">
        <v>0</v>
      </c>
      <c r="E142" s="13">
        <v>32804.699999999997</v>
      </c>
      <c r="F142" s="19" t="str" cm="1">
        <f t="array" ref="F142">IFERROR(LOOKUP(2^15,SEARCH(CategoryMap[Keyword],BankTransactions[[#This Row],[Description]]),CategoryMap[Category]),"Other")</f>
        <v>Supplier Payments</v>
      </c>
      <c r="G142" s="6">
        <f>BankTransactions[[#This Row],[Credit (SAR)]]-BankTransactions[[#This Row],[Debit (SAR)]]</f>
        <v>-32804.699999999997</v>
      </c>
      <c r="H142" s="6">
        <f>Opening+SUM(INDEX(BankTransactions[Net (SAR)],1):BankTransactions[[#This Row],[Net (SAR)]])</f>
        <v>2106080.0700000003</v>
      </c>
    </row>
    <row r="143" spans="1:8" x14ac:dyDescent="0.2">
      <c r="A143" s="5" t="s">
        <v>202</v>
      </c>
      <c r="B143" s="4">
        <v>46011</v>
      </c>
      <c r="C143" s="2" t="s">
        <v>203</v>
      </c>
      <c r="D143" s="12">
        <v>2735.33</v>
      </c>
      <c r="E143" s="13">
        <v>0</v>
      </c>
      <c r="F143" s="19" t="str" cm="1">
        <f t="array" ref="F143">IFERROR(LOOKUP(2^15,SEARCH(CategoryMap[Keyword],BankTransactions[[#This Row],[Description]]),CategoryMap[Category]),"Other")</f>
        <v>Customer Receipts</v>
      </c>
      <c r="G143" s="6">
        <f>BankTransactions[[#This Row],[Credit (SAR)]]-BankTransactions[[#This Row],[Debit (SAR)]]</f>
        <v>2735.33</v>
      </c>
      <c r="H143" s="6">
        <f>Opening+SUM(INDEX(BankTransactions[Net (SAR)],1):BankTransactions[[#This Row],[Net (SAR)]])</f>
        <v>2108815.4000000004</v>
      </c>
    </row>
    <row r="144" spans="1:8" x14ac:dyDescent="0.2">
      <c r="A144" s="5" t="s">
        <v>204</v>
      </c>
      <c r="B144" s="4">
        <v>46011</v>
      </c>
      <c r="C144" s="2" t="s">
        <v>205</v>
      </c>
      <c r="D144" s="12">
        <v>32446.79</v>
      </c>
      <c r="E144" s="13">
        <v>0</v>
      </c>
      <c r="F144" s="19" t="str" cm="1">
        <f t="array" ref="F144">IFERROR(LOOKUP(2^15,SEARCH(CategoryMap[Keyword],BankTransactions[[#This Row],[Description]]),CategoryMap[Category]),"Other")</f>
        <v>Customer Receipts</v>
      </c>
      <c r="G144" s="6">
        <f>BankTransactions[[#This Row],[Credit (SAR)]]-BankTransactions[[#This Row],[Debit (SAR)]]</f>
        <v>32446.79</v>
      </c>
      <c r="H144" s="6">
        <f>Opening+SUM(INDEX(BankTransactions[Net (SAR)],1):BankTransactions[[#This Row],[Net (SAR)]])</f>
        <v>2141262.1900000004</v>
      </c>
    </row>
    <row r="145" spans="1:8" x14ac:dyDescent="0.2">
      <c r="A145" s="5" t="s">
        <v>206</v>
      </c>
      <c r="B145" s="4">
        <v>46012</v>
      </c>
      <c r="C145" s="2" t="s">
        <v>207</v>
      </c>
      <c r="D145" s="12">
        <v>11102.09</v>
      </c>
      <c r="E145" s="13">
        <v>0</v>
      </c>
      <c r="F145" s="19" t="str" cm="1">
        <f t="array" ref="F145">IFERROR(LOOKUP(2^15,SEARCH(CategoryMap[Keyword],BankTransactions[[#This Row],[Description]]),CategoryMap[Category]),"Other")</f>
        <v>Customer Receipts</v>
      </c>
      <c r="G145" s="6">
        <f>BankTransactions[[#This Row],[Credit (SAR)]]-BankTransactions[[#This Row],[Debit (SAR)]]</f>
        <v>11102.09</v>
      </c>
      <c r="H145" s="6">
        <f>Opening+SUM(INDEX(BankTransactions[Net (SAR)],1):BankTransactions[[#This Row],[Net (SAR)]])</f>
        <v>2152364.2800000003</v>
      </c>
    </row>
    <row r="146" spans="1:8" x14ac:dyDescent="0.2">
      <c r="A146" s="5" t="s">
        <v>208</v>
      </c>
      <c r="B146" s="4">
        <v>46012</v>
      </c>
      <c r="C146" s="2" t="s">
        <v>209</v>
      </c>
      <c r="D146" s="12">
        <v>3867.46</v>
      </c>
      <c r="E146" s="13">
        <v>0</v>
      </c>
      <c r="F146" s="19" t="str" cm="1">
        <f t="array" ref="F146">IFERROR(LOOKUP(2^15,SEARCH(CategoryMap[Keyword],BankTransactions[[#This Row],[Description]]),CategoryMap[Category]),"Other")</f>
        <v>Customer Receipts</v>
      </c>
      <c r="G146" s="6">
        <f>BankTransactions[[#This Row],[Credit (SAR)]]-BankTransactions[[#This Row],[Debit (SAR)]]</f>
        <v>3867.46</v>
      </c>
      <c r="H146" s="6">
        <f>Opening+SUM(INDEX(BankTransactions[Net (SAR)],1):BankTransactions[[#This Row],[Net (SAR)]])</f>
        <v>2156231.7400000002</v>
      </c>
    </row>
    <row r="147" spans="1:8" x14ac:dyDescent="0.2">
      <c r="A147" s="5" t="s">
        <v>210</v>
      </c>
      <c r="B147" s="4">
        <v>46012</v>
      </c>
      <c r="C147" s="2" t="s">
        <v>10</v>
      </c>
      <c r="D147" s="12">
        <v>0</v>
      </c>
      <c r="E147" s="13">
        <v>33671.75</v>
      </c>
      <c r="F147" s="19" t="str" cm="1">
        <f t="array" ref="F147">IFERROR(LOOKUP(2^15,SEARCH(CategoryMap[Keyword],BankTransactions[[#This Row],[Description]]),CategoryMap[Category]),"Other")</f>
        <v>Fuel &amp; Logistics</v>
      </c>
      <c r="G147" s="6">
        <f>BankTransactions[[#This Row],[Credit (SAR)]]-BankTransactions[[#This Row],[Debit (SAR)]]</f>
        <v>-33671.75</v>
      </c>
      <c r="H147" s="6">
        <f>Opening+SUM(INDEX(BankTransactions[Net (SAR)],1):BankTransactions[[#This Row],[Net (SAR)]])</f>
        <v>2122559.9900000002</v>
      </c>
    </row>
    <row r="148" spans="1:8" x14ac:dyDescent="0.2">
      <c r="A148" s="5" t="s">
        <v>211</v>
      </c>
      <c r="B148" s="4">
        <v>46013</v>
      </c>
      <c r="C148" s="2" t="s">
        <v>212</v>
      </c>
      <c r="D148" s="12">
        <v>3340.05</v>
      </c>
      <c r="E148" s="13">
        <v>0</v>
      </c>
      <c r="F148" s="19" t="str" cm="1">
        <f t="array" ref="F148">IFERROR(LOOKUP(2^15,SEARCH(CategoryMap[Keyword],BankTransactions[[#This Row],[Description]]),CategoryMap[Category]),"Other")</f>
        <v>Customer Receipts</v>
      </c>
      <c r="G148" s="6">
        <f>BankTransactions[[#This Row],[Credit (SAR)]]-BankTransactions[[#This Row],[Debit (SAR)]]</f>
        <v>3340.05</v>
      </c>
      <c r="H148" s="6">
        <f>Opening+SUM(INDEX(BankTransactions[Net (SAR)],1):BankTransactions[[#This Row],[Net (SAR)]])</f>
        <v>2125900.04</v>
      </c>
    </row>
    <row r="149" spans="1:8" x14ac:dyDescent="0.2">
      <c r="A149" s="5" t="s">
        <v>213</v>
      </c>
      <c r="B149" s="4">
        <v>46013</v>
      </c>
      <c r="C149" s="2" t="s">
        <v>214</v>
      </c>
      <c r="D149" s="12">
        <v>3496.45</v>
      </c>
      <c r="E149" s="13">
        <v>0</v>
      </c>
      <c r="F149" s="19" t="str" cm="1">
        <f t="array" ref="F149">IFERROR(LOOKUP(2^15,SEARCH(CategoryMap[Keyword],BankTransactions[[#This Row],[Description]]),CategoryMap[Category]),"Other")</f>
        <v>Customer Receipts</v>
      </c>
      <c r="G149" s="6">
        <f>BankTransactions[[#This Row],[Credit (SAR)]]-BankTransactions[[#This Row],[Debit (SAR)]]</f>
        <v>3496.45</v>
      </c>
      <c r="H149" s="6">
        <f>Opening+SUM(INDEX(BankTransactions[Net (SAR)],1):BankTransactions[[#This Row],[Net (SAR)]])</f>
        <v>2129396.4900000002</v>
      </c>
    </row>
    <row r="150" spans="1:8" x14ac:dyDescent="0.2">
      <c r="A150" s="5" t="s">
        <v>215</v>
      </c>
      <c r="B150" s="4">
        <v>46013</v>
      </c>
      <c r="C150" s="2" t="s">
        <v>7</v>
      </c>
      <c r="D150" s="12">
        <v>0</v>
      </c>
      <c r="E150" s="13">
        <v>36994.769999999997</v>
      </c>
      <c r="F150" s="19" t="str" cm="1">
        <f t="array" ref="F150">IFERROR(LOOKUP(2^15,SEARCH(CategoryMap[Keyword],BankTransactions[[#This Row],[Description]]),CategoryMap[Category]),"Other")</f>
        <v>Supplier Payments</v>
      </c>
      <c r="G150" s="6">
        <f>BankTransactions[[#This Row],[Credit (SAR)]]-BankTransactions[[#This Row],[Debit (SAR)]]</f>
        <v>-36994.769999999997</v>
      </c>
      <c r="H150" s="6">
        <f>Opening+SUM(INDEX(BankTransactions[Net (SAR)],1):BankTransactions[[#This Row],[Net (SAR)]])</f>
        <v>2092401.7200000002</v>
      </c>
    </row>
    <row r="151" spans="1:8" x14ac:dyDescent="0.2">
      <c r="A151" s="5" t="s">
        <v>216</v>
      </c>
      <c r="B151" s="4">
        <v>46013</v>
      </c>
      <c r="C151" s="2" t="s">
        <v>7</v>
      </c>
      <c r="D151" s="12">
        <v>0</v>
      </c>
      <c r="E151" s="13">
        <v>43560.93</v>
      </c>
      <c r="F151" s="19" t="str" cm="1">
        <f t="array" ref="F151">IFERROR(LOOKUP(2^15,SEARCH(CategoryMap[Keyword],BankTransactions[[#This Row],[Description]]),CategoryMap[Category]),"Other")</f>
        <v>Supplier Payments</v>
      </c>
      <c r="G151" s="6">
        <f>BankTransactions[[#This Row],[Credit (SAR)]]-BankTransactions[[#This Row],[Debit (SAR)]]</f>
        <v>-43560.93</v>
      </c>
      <c r="H151" s="6">
        <f>Opening+SUM(INDEX(BankTransactions[Net (SAR)],1):BankTransactions[[#This Row],[Net (SAR)]])</f>
        <v>2048840.7900000003</v>
      </c>
    </row>
    <row r="152" spans="1:8" x14ac:dyDescent="0.2">
      <c r="A152" s="5" t="s">
        <v>217</v>
      </c>
      <c r="B152" s="4">
        <v>46014</v>
      </c>
      <c r="C152" s="2" t="s">
        <v>218</v>
      </c>
      <c r="D152" s="12">
        <v>4758.76</v>
      </c>
      <c r="E152" s="13">
        <v>0</v>
      </c>
      <c r="F152" s="19" t="str" cm="1">
        <f t="array" ref="F152">IFERROR(LOOKUP(2^15,SEARCH(CategoryMap[Keyword],BankTransactions[[#This Row],[Description]]),CategoryMap[Category]),"Other")</f>
        <v>Customer Receipts</v>
      </c>
      <c r="G152" s="6">
        <f>BankTransactions[[#This Row],[Credit (SAR)]]-BankTransactions[[#This Row],[Debit (SAR)]]</f>
        <v>4758.76</v>
      </c>
      <c r="H152" s="6">
        <f>Opening+SUM(INDEX(BankTransactions[Net (SAR)],1):BankTransactions[[#This Row],[Net (SAR)]])</f>
        <v>2053599.5500000003</v>
      </c>
    </row>
    <row r="153" spans="1:8" x14ac:dyDescent="0.2">
      <c r="A153" s="5" t="s">
        <v>219</v>
      </c>
      <c r="B153" s="4">
        <v>46014</v>
      </c>
      <c r="C153" s="2" t="s">
        <v>12</v>
      </c>
      <c r="D153" s="12">
        <v>17444.29</v>
      </c>
      <c r="E153" s="13">
        <v>0</v>
      </c>
      <c r="F153" s="19" t="str" cm="1">
        <f t="array" ref="F153">IFERROR(LOOKUP(2^15,SEARCH(CategoryMap[Keyword],BankTransactions[[#This Row],[Description]]),CategoryMap[Category]),"Other")</f>
        <v>Cash Deposits</v>
      </c>
      <c r="G153" s="6">
        <f>BankTransactions[[#This Row],[Credit (SAR)]]-BankTransactions[[#This Row],[Debit (SAR)]]</f>
        <v>17444.29</v>
      </c>
      <c r="H153" s="6">
        <f>Opening+SUM(INDEX(BankTransactions[Net (SAR)],1):BankTransactions[[#This Row],[Net (SAR)]])</f>
        <v>2071043.8400000003</v>
      </c>
    </row>
    <row r="154" spans="1:8" x14ac:dyDescent="0.2">
      <c r="A154" s="5" t="s">
        <v>220</v>
      </c>
      <c r="B154" s="4">
        <v>46014</v>
      </c>
      <c r="C154" s="2" t="s">
        <v>10</v>
      </c>
      <c r="D154" s="12">
        <v>3133.5</v>
      </c>
      <c r="E154" s="13">
        <v>12425.26</v>
      </c>
      <c r="F154" s="19" t="str" cm="1">
        <f t="array" ref="F154">IFERROR(LOOKUP(2^15,SEARCH(CategoryMap[Keyword],BankTransactions[[#This Row],[Description]]),CategoryMap[Category]),"Other")</f>
        <v>Fuel &amp; Logistics</v>
      </c>
      <c r="G154" s="6">
        <f>BankTransactions[[#This Row],[Credit (SAR)]]-BankTransactions[[#This Row],[Debit (SAR)]]</f>
        <v>-9291.76</v>
      </c>
      <c r="H154" s="6">
        <f>Opening+SUM(INDEX(BankTransactions[Net (SAR)],1):BankTransactions[[#This Row],[Net (SAR)]])</f>
        <v>2061752.0800000003</v>
      </c>
    </row>
    <row r="155" spans="1:8" x14ac:dyDescent="0.2">
      <c r="A155" s="5" t="s">
        <v>221</v>
      </c>
      <c r="B155" s="4">
        <v>46015</v>
      </c>
      <c r="C155" s="2" t="s">
        <v>222</v>
      </c>
      <c r="D155" s="12">
        <v>2524.46</v>
      </c>
      <c r="E155" s="13">
        <v>0</v>
      </c>
      <c r="F155" s="19" t="str" cm="1">
        <f t="array" ref="F155">IFERROR(LOOKUP(2^15,SEARCH(CategoryMap[Keyword],BankTransactions[[#This Row],[Description]]),CategoryMap[Category]),"Other")</f>
        <v>Customer Receipts</v>
      </c>
      <c r="G155" s="6">
        <f>BankTransactions[[#This Row],[Credit (SAR)]]-BankTransactions[[#This Row],[Debit (SAR)]]</f>
        <v>2524.46</v>
      </c>
      <c r="H155" s="6">
        <f>Opening+SUM(INDEX(BankTransactions[Net (SAR)],1):BankTransactions[[#This Row],[Net (SAR)]])</f>
        <v>2064276.5400000003</v>
      </c>
    </row>
    <row r="156" spans="1:8" x14ac:dyDescent="0.2">
      <c r="A156" s="5" t="s">
        <v>223</v>
      </c>
      <c r="B156" s="4">
        <v>46016</v>
      </c>
      <c r="C156" s="2" t="s">
        <v>224</v>
      </c>
      <c r="D156" s="12">
        <v>3377.35</v>
      </c>
      <c r="E156" s="13">
        <v>0</v>
      </c>
      <c r="F156" s="19" t="str" cm="1">
        <f t="array" ref="F156">IFERROR(LOOKUP(2^15,SEARCH(CategoryMap[Keyword],BankTransactions[[#This Row],[Description]]),CategoryMap[Category]),"Other")</f>
        <v>Customer Receipts</v>
      </c>
      <c r="G156" s="6">
        <f>BankTransactions[[#This Row],[Credit (SAR)]]-BankTransactions[[#This Row],[Debit (SAR)]]</f>
        <v>3377.35</v>
      </c>
      <c r="H156" s="6">
        <f>Opening+SUM(INDEX(BankTransactions[Net (SAR)],1):BankTransactions[[#This Row],[Net (SAR)]])</f>
        <v>2067653.8900000001</v>
      </c>
    </row>
    <row r="157" spans="1:8" x14ac:dyDescent="0.2">
      <c r="A157" s="5" t="s">
        <v>225</v>
      </c>
      <c r="B157" s="4">
        <v>46016</v>
      </c>
      <c r="C157" s="2" t="s">
        <v>226</v>
      </c>
      <c r="D157" s="12">
        <v>14018.4</v>
      </c>
      <c r="E157" s="13">
        <v>0</v>
      </c>
      <c r="F157" s="19" t="str" cm="1">
        <f t="array" ref="F157">IFERROR(LOOKUP(2^15,SEARCH(CategoryMap[Keyword],BankTransactions[[#This Row],[Description]]),CategoryMap[Category]),"Other")</f>
        <v>Customer Receipts</v>
      </c>
      <c r="G157" s="6">
        <f>BankTransactions[[#This Row],[Credit (SAR)]]-BankTransactions[[#This Row],[Debit (SAR)]]</f>
        <v>14018.4</v>
      </c>
      <c r="H157" s="6">
        <f>Opening+SUM(INDEX(BankTransactions[Net (SAR)],1):BankTransactions[[#This Row],[Net (SAR)]])</f>
        <v>2081672.2900000003</v>
      </c>
    </row>
    <row r="158" spans="1:8" x14ac:dyDescent="0.2">
      <c r="A158" s="5" t="s">
        <v>227</v>
      </c>
      <c r="B158" s="4">
        <v>46016</v>
      </c>
      <c r="C158" s="2" t="s">
        <v>22</v>
      </c>
      <c r="D158" s="12">
        <v>0</v>
      </c>
      <c r="E158" s="13">
        <v>64000</v>
      </c>
      <c r="F158" s="19" t="str" cm="1">
        <f t="array" ref="F158">IFERROR(LOOKUP(2^15,SEARCH(CategoryMap[Keyword],BankTransactions[[#This Row],[Description]]),CategoryMap[Category]),"Other")</f>
        <v>Payroll</v>
      </c>
      <c r="G158" s="6">
        <f>BankTransactions[[#This Row],[Credit (SAR)]]-BankTransactions[[#This Row],[Debit (SAR)]]</f>
        <v>-64000</v>
      </c>
      <c r="H158" s="6">
        <f>Opening+SUM(INDEX(BankTransactions[Net (SAR)],1):BankTransactions[[#This Row],[Net (SAR)]])</f>
        <v>2017672.2900000003</v>
      </c>
    </row>
    <row r="159" spans="1:8" x14ac:dyDescent="0.2">
      <c r="A159" s="5" t="s">
        <v>228</v>
      </c>
      <c r="B159" s="4">
        <v>46016</v>
      </c>
      <c r="C159" s="2" t="s">
        <v>24</v>
      </c>
      <c r="D159" s="12">
        <v>0</v>
      </c>
      <c r="E159" s="13">
        <v>21000</v>
      </c>
      <c r="F159" s="19" t="str" cm="1">
        <f t="array" ref="F159">IFERROR(LOOKUP(2^15,SEARCH(CategoryMap[Keyword],BankTransactions[[#This Row],[Description]]),CategoryMap[Category]),"Other")</f>
        <v>Loan Repayments</v>
      </c>
      <c r="G159" s="6">
        <f>BankTransactions[[#This Row],[Credit (SAR)]]-BankTransactions[[#This Row],[Debit (SAR)]]</f>
        <v>-21000</v>
      </c>
      <c r="H159" s="6">
        <f>Opening+SUM(INDEX(BankTransactions[Net (SAR)],1):BankTransactions[[#This Row],[Net (SAR)]])</f>
        <v>1996672.2900000003</v>
      </c>
    </row>
    <row r="160" spans="1:8" x14ac:dyDescent="0.2">
      <c r="A160" s="5" t="s">
        <v>229</v>
      </c>
      <c r="B160" s="4">
        <v>46016</v>
      </c>
      <c r="C160" s="2" t="s">
        <v>7</v>
      </c>
      <c r="D160" s="12">
        <v>0</v>
      </c>
      <c r="E160" s="13">
        <v>15320.66</v>
      </c>
      <c r="F160" s="19" t="str" cm="1">
        <f t="array" ref="F160">IFERROR(LOOKUP(2^15,SEARCH(CategoryMap[Keyword],BankTransactions[[#This Row],[Description]]),CategoryMap[Category]),"Other")</f>
        <v>Supplier Payments</v>
      </c>
      <c r="G160" s="6">
        <f>BankTransactions[[#This Row],[Credit (SAR)]]-BankTransactions[[#This Row],[Debit (SAR)]]</f>
        <v>-15320.66</v>
      </c>
      <c r="H160" s="6">
        <f>Opening+SUM(INDEX(BankTransactions[Net (SAR)],1):BankTransactions[[#This Row],[Net (SAR)]])</f>
        <v>1981351.6300000004</v>
      </c>
    </row>
    <row r="161" spans="1:8" x14ac:dyDescent="0.2">
      <c r="A161" s="5" t="s">
        <v>230</v>
      </c>
      <c r="B161" s="4">
        <v>46017</v>
      </c>
      <c r="C161" s="2" t="s">
        <v>231</v>
      </c>
      <c r="D161" s="12">
        <v>9477.6200000000008</v>
      </c>
      <c r="E161" s="13">
        <v>0</v>
      </c>
      <c r="F161" s="19" t="str" cm="1">
        <f t="array" ref="F161">IFERROR(LOOKUP(2^15,SEARCH(CategoryMap[Keyword],BankTransactions[[#This Row],[Description]]),CategoryMap[Category]),"Other")</f>
        <v>Customer Receipts</v>
      </c>
      <c r="G161" s="6">
        <f>BankTransactions[[#This Row],[Credit (SAR)]]-BankTransactions[[#This Row],[Debit (SAR)]]</f>
        <v>9477.6200000000008</v>
      </c>
      <c r="H161" s="6">
        <f>Opening+SUM(INDEX(BankTransactions[Net (SAR)],1):BankTransactions[[#This Row],[Net (SAR)]])</f>
        <v>1990829.2500000002</v>
      </c>
    </row>
    <row r="162" spans="1:8" x14ac:dyDescent="0.2">
      <c r="A162" s="5" t="s">
        <v>232</v>
      </c>
      <c r="B162" s="4">
        <v>46017</v>
      </c>
      <c r="C162" s="2" t="s">
        <v>7</v>
      </c>
      <c r="D162" s="12">
        <v>8799.09</v>
      </c>
      <c r="E162" s="13">
        <v>31294.82</v>
      </c>
      <c r="F162" s="19" t="str" cm="1">
        <f t="array" ref="F162">IFERROR(LOOKUP(2^15,SEARCH(CategoryMap[Keyword],BankTransactions[[#This Row],[Description]]),CategoryMap[Category]),"Other")</f>
        <v>Supplier Payments</v>
      </c>
      <c r="G162" s="6">
        <f>BankTransactions[[#This Row],[Credit (SAR)]]-BankTransactions[[#This Row],[Debit (SAR)]]</f>
        <v>-22495.73</v>
      </c>
      <c r="H162" s="6">
        <f>Opening+SUM(INDEX(BankTransactions[Net (SAR)],1):BankTransactions[[#This Row],[Net (SAR)]])</f>
        <v>1968333.5200000003</v>
      </c>
    </row>
    <row r="163" spans="1:8" x14ac:dyDescent="0.2">
      <c r="A163" s="5" t="s">
        <v>233</v>
      </c>
      <c r="B163" s="4">
        <v>46017</v>
      </c>
      <c r="C163" s="2" t="s">
        <v>10</v>
      </c>
      <c r="D163" s="12">
        <v>0</v>
      </c>
      <c r="E163" s="13">
        <v>9145.5400000000009</v>
      </c>
      <c r="F163" s="19" t="str" cm="1">
        <f t="array" ref="F163">IFERROR(LOOKUP(2^15,SEARCH(CategoryMap[Keyword],BankTransactions[[#This Row],[Description]]),CategoryMap[Category]),"Other")</f>
        <v>Fuel &amp; Logistics</v>
      </c>
      <c r="G163" s="6">
        <f>BankTransactions[[#This Row],[Credit (SAR)]]-BankTransactions[[#This Row],[Debit (SAR)]]</f>
        <v>-9145.5400000000009</v>
      </c>
      <c r="H163" s="6">
        <f>Opening+SUM(INDEX(BankTransactions[Net (SAR)],1):BankTransactions[[#This Row],[Net (SAR)]])</f>
        <v>1959187.9800000002</v>
      </c>
    </row>
    <row r="164" spans="1:8" x14ac:dyDescent="0.2">
      <c r="A164" s="5" t="s">
        <v>234</v>
      </c>
      <c r="B164" s="4">
        <v>46018</v>
      </c>
      <c r="C164" s="2" t="s">
        <v>235</v>
      </c>
      <c r="D164" s="12">
        <v>939.69</v>
      </c>
      <c r="E164" s="13">
        <v>0</v>
      </c>
      <c r="F164" s="19" t="str" cm="1">
        <f t="array" ref="F164">IFERROR(LOOKUP(2^15,SEARCH(CategoryMap[Keyword],BankTransactions[[#This Row],[Description]]),CategoryMap[Category]),"Other")</f>
        <v>Customer Receipts</v>
      </c>
      <c r="G164" s="6">
        <f>BankTransactions[[#This Row],[Credit (SAR)]]-BankTransactions[[#This Row],[Debit (SAR)]]</f>
        <v>939.69</v>
      </c>
      <c r="H164" s="6">
        <f>Opening+SUM(INDEX(BankTransactions[Net (SAR)],1):BankTransactions[[#This Row],[Net (SAR)]])</f>
        <v>1960127.6700000002</v>
      </c>
    </row>
    <row r="165" spans="1:8" x14ac:dyDescent="0.2">
      <c r="A165" s="5" t="s">
        <v>236</v>
      </c>
      <c r="B165" s="4">
        <v>46018</v>
      </c>
      <c r="C165" s="2" t="s">
        <v>237</v>
      </c>
      <c r="D165" s="12">
        <v>16675.82</v>
      </c>
      <c r="E165" s="13">
        <v>0</v>
      </c>
      <c r="F165" s="19" t="str" cm="1">
        <f t="array" ref="F165">IFERROR(LOOKUP(2^15,SEARCH(CategoryMap[Keyword],BankTransactions[[#This Row],[Description]]),CategoryMap[Category]),"Other")</f>
        <v>Customer Receipts</v>
      </c>
      <c r="G165" s="6">
        <f>BankTransactions[[#This Row],[Credit (SAR)]]-BankTransactions[[#This Row],[Debit (SAR)]]</f>
        <v>16675.82</v>
      </c>
      <c r="H165" s="6">
        <f>Opening+SUM(INDEX(BankTransactions[Net (SAR)],1):BankTransactions[[#This Row],[Net (SAR)]])</f>
        <v>1976803.4900000002</v>
      </c>
    </row>
    <row r="166" spans="1:8" x14ac:dyDescent="0.2">
      <c r="A166" s="5" t="s">
        <v>238</v>
      </c>
      <c r="B166" s="4">
        <v>46019</v>
      </c>
      <c r="C166" s="2" t="s">
        <v>239</v>
      </c>
      <c r="D166" s="12">
        <v>4935.83</v>
      </c>
      <c r="E166" s="13">
        <v>0</v>
      </c>
      <c r="F166" s="19" t="str" cm="1">
        <f t="array" ref="F166">IFERROR(LOOKUP(2^15,SEARCH(CategoryMap[Keyword],BankTransactions[[#This Row],[Description]]),CategoryMap[Category]),"Other")</f>
        <v>Customer Receipts</v>
      </c>
      <c r="G166" s="6">
        <f>BankTransactions[[#This Row],[Credit (SAR)]]-BankTransactions[[#This Row],[Debit (SAR)]]</f>
        <v>4935.83</v>
      </c>
      <c r="H166" s="6">
        <f>Opening+SUM(INDEX(BankTransactions[Net (SAR)],1):BankTransactions[[#This Row],[Net (SAR)]])</f>
        <v>1981739.3200000003</v>
      </c>
    </row>
    <row r="167" spans="1:8" x14ac:dyDescent="0.2">
      <c r="A167" s="5" t="s">
        <v>240</v>
      </c>
      <c r="B167" s="4">
        <v>46019</v>
      </c>
      <c r="C167" s="2" t="s">
        <v>241</v>
      </c>
      <c r="D167" s="12">
        <v>9845.18</v>
      </c>
      <c r="E167" s="13">
        <v>0</v>
      </c>
      <c r="F167" s="19" t="str" cm="1">
        <f t="array" ref="F167">IFERROR(LOOKUP(2^15,SEARCH(CategoryMap[Keyword],BankTransactions[[#This Row],[Description]]),CategoryMap[Category]),"Other")</f>
        <v>Customer Receipts</v>
      </c>
      <c r="G167" s="6">
        <f>BankTransactions[[#This Row],[Credit (SAR)]]-BankTransactions[[#This Row],[Debit (SAR)]]</f>
        <v>9845.18</v>
      </c>
      <c r="H167" s="6">
        <f>Opening+SUM(INDEX(BankTransactions[Net (SAR)],1):BankTransactions[[#This Row],[Net (SAR)]])</f>
        <v>1991584.5000000002</v>
      </c>
    </row>
    <row r="168" spans="1:8" x14ac:dyDescent="0.2">
      <c r="A168" s="5" t="s">
        <v>242</v>
      </c>
      <c r="B168" s="4">
        <v>46019</v>
      </c>
      <c r="C168" s="2" t="s">
        <v>243</v>
      </c>
      <c r="D168" s="12">
        <v>3279.09</v>
      </c>
      <c r="E168" s="13">
        <v>0</v>
      </c>
      <c r="F168" s="19" t="str" cm="1">
        <f t="array" ref="F168">IFERROR(LOOKUP(2^15,SEARCH(CategoryMap[Keyword],BankTransactions[[#This Row],[Description]]),CategoryMap[Category]),"Other")</f>
        <v>Customer Receipts</v>
      </c>
      <c r="G168" s="6">
        <f>BankTransactions[[#This Row],[Credit (SAR)]]-BankTransactions[[#This Row],[Debit (SAR)]]</f>
        <v>3279.09</v>
      </c>
      <c r="H168" s="6">
        <f>Opening+SUM(INDEX(BankTransactions[Net (SAR)],1):BankTransactions[[#This Row],[Net (SAR)]])</f>
        <v>1994863.5900000003</v>
      </c>
    </row>
    <row r="169" spans="1:8" x14ac:dyDescent="0.2">
      <c r="A169" s="5" t="s">
        <v>244</v>
      </c>
      <c r="B169" s="4">
        <v>46019</v>
      </c>
      <c r="C169" s="2" t="s">
        <v>245</v>
      </c>
      <c r="D169" s="12">
        <v>18938.03</v>
      </c>
      <c r="E169" s="13">
        <v>0</v>
      </c>
      <c r="F169" s="19" t="str" cm="1">
        <f t="array" ref="F169">IFERROR(LOOKUP(2^15,SEARCH(CategoryMap[Keyword],BankTransactions[[#This Row],[Description]]),CategoryMap[Category]),"Other")</f>
        <v>Customer Receipts</v>
      </c>
      <c r="G169" s="6">
        <f>BankTransactions[[#This Row],[Credit (SAR)]]-BankTransactions[[#This Row],[Debit (SAR)]]</f>
        <v>18938.03</v>
      </c>
      <c r="H169" s="6">
        <f>Opening+SUM(INDEX(BankTransactions[Net (SAR)],1):BankTransactions[[#This Row],[Net (SAR)]])</f>
        <v>2013801.62</v>
      </c>
    </row>
    <row r="170" spans="1:8" x14ac:dyDescent="0.2">
      <c r="A170" s="5" t="s">
        <v>246</v>
      </c>
      <c r="B170" s="4">
        <v>46019</v>
      </c>
      <c r="C170" s="2" t="s">
        <v>10</v>
      </c>
      <c r="D170" s="12">
        <v>5500.1</v>
      </c>
      <c r="E170" s="13">
        <v>11004.52</v>
      </c>
      <c r="F170" s="19" t="str" cm="1">
        <f t="array" ref="F170">IFERROR(LOOKUP(2^15,SEARCH(CategoryMap[Keyword],BankTransactions[[#This Row],[Description]]),CategoryMap[Category]),"Other")</f>
        <v>Fuel &amp; Logistics</v>
      </c>
      <c r="G170" s="6">
        <f>BankTransactions[[#This Row],[Credit (SAR)]]-BankTransactions[[#This Row],[Debit (SAR)]]</f>
        <v>-5504.42</v>
      </c>
      <c r="H170" s="6">
        <f>Opening+SUM(INDEX(BankTransactions[Net (SAR)],1):BankTransactions[[#This Row],[Net (SAR)]])</f>
        <v>2008297.2000000002</v>
      </c>
    </row>
    <row r="171" spans="1:8" x14ac:dyDescent="0.2">
      <c r="A171" s="5" t="s">
        <v>247</v>
      </c>
      <c r="B171" s="4">
        <v>46019</v>
      </c>
      <c r="C171" s="2" t="s">
        <v>7</v>
      </c>
      <c r="D171" s="12">
        <v>0</v>
      </c>
      <c r="E171" s="13">
        <v>0</v>
      </c>
      <c r="F171" s="19" t="str" cm="1">
        <f t="array" ref="F171">IFERROR(LOOKUP(2^15,SEARCH(CategoryMap[Keyword],BankTransactions[[#This Row],[Description]]),CategoryMap[Category]),"Other")</f>
        <v>Supplier Payments</v>
      </c>
      <c r="G171" s="6">
        <f>BankTransactions[[#This Row],[Credit (SAR)]]-BankTransactions[[#This Row],[Debit (SAR)]]</f>
        <v>0</v>
      </c>
      <c r="H171" s="6">
        <f>Opening+SUM(INDEX(BankTransactions[Net (SAR)],1):BankTransactions[[#This Row],[Net (SAR)]])</f>
        <v>2008297.2000000002</v>
      </c>
    </row>
    <row r="172" spans="1:8" x14ac:dyDescent="0.2">
      <c r="A172" s="5" t="s">
        <v>248</v>
      </c>
      <c r="B172" s="4">
        <v>46020</v>
      </c>
      <c r="C172" s="2" t="s">
        <v>249</v>
      </c>
      <c r="D172" s="12">
        <v>22677.77</v>
      </c>
      <c r="E172" s="13">
        <v>0</v>
      </c>
      <c r="F172" s="19" t="str" cm="1">
        <f t="array" ref="F172">IFERROR(LOOKUP(2^15,SEARCH(CategoryMap[Keyword],BankTransactions[[#This Row],[Description]]),CategoryMap[Category]),"Other")</f>
        <v>Customer Receipts</v>
      </c>
      <c r="G172" s="6">
        <f>BankTransactions[[#This Row],[Credit (SAR)]]-BankTransactions[[#This Row],[Debit (SAR)]]</f>
        <v>22677.77</v>
      </c>
      <c r="H172" s="6">
        <f>Opening+SUM(INDEX(BankTransactions[Net (SAR)],1):BankTransactions[[#This Row],[Net (SAR)]])</f>
        <v>2030974.9700000002</v>
      </c>
    </row>
    <row r="173" spans="1:8" x14ac:dyDescent="0.2">
      <c r="A173" s="5" t="s">
        <v>250</v>
      </c>
      <c r="B173" s="4">
        <v>46020</v>
      </c>
      <c r="C173" s="2" t="s">
        <v>251</v>
      </c>
      <c r="D173" s="12">
        <v>17467.189999999999</v>
      </c>
      <c r="E173" s="13">
        <v>0</v>
      </c>
      <c r="F173" s="19" t="str" cm="1">
        <f t="array" ref="F173">IFERROR(LOOKUP(2^15,SEARCH(CategoryMap[Keyword],BankTransactions[[#This Row],[Description]]),CategoryMap[Category]),"Other")</f>
        <v>Customer Receipts</v>
      </c>
      <c r="G173" s="6">
        <f>BankTransactions[[#This Row],[Credit (SAR)]]-BankTransactions[[#This Row],[Debit (SAR)]]</f>
        <v>17467.189999999999</v>
      </c>
      <c r="H173" s="6">
        <f>Opening+SUM(INDEX(BankTransactions[Net (SAR)],1):BankTransactions[[#This Row],[Net (SAR)]])</f>
        <v>2048442.1600000001</v>
      </c>
    </row>
    <row r="174" spans="1:8" x14ac:dyDescent="0.2">
      <c r="A174" s="5" t="s">
        <v>252</v>
      </c>
      <c r="B174" s="4">
        <v>46021</v>
      </c>
      <c r="C174" s="2" t="s">
        <v>253</v>
      </c>
      <c r="D174" s="12">
        <v>4012.25</v>
      </c>
      <c r="E174" s="13">
        <v>0</v>
      </c>
      <c r="F174" s="19" t="str" cm="1">
        <f t="array" ref="F174">IFERROR(LOOKUP(2^15,SEARCH(CategoryMap[Keyword],BankTransactions[[#This Row],[Description]]),CategoryMap[Category]),"Other")</f>
        <v>Customer Receipts</v>
      </c>
      <c r="G174" s="6">
        <f>BankTransactions[[#This Row],[Credit (SAR)]]-BankTransactions[[#This Row],[Debit (SAR)]]</f>
        <v>4012.25</v>
      </c>
      <c r="H174" s="6">
        <f>Opening+SUM(INDEX(BankTransactions[Net (SAR)],1):BankTransactions[[#This Row],[Net (SAR)]])</f>
        <v>2052454.4100000001</v>
      </c>
    </row>
    <row r="175" spans="1:8" x14ac:dyDescent="0.2">
      <c r="A175" s="5" t="s">
        <v>254</v>
      </c>
      <c r="B175" s="4">
        <v>46021</v>
      </c>
      <c r="C175" s="2" t="s">
        <v>3</v>
      </c>
      <c r="D175" s="12">
        <v>0</v>
      </c>
      <c r="E175" s="13">
        <v>4784.38</v>
      </c>
      <c r="F175" s="19" t="str" cm="1">
        <f t="array" ref="F175">IFERROR(LOOKUP(2^15,SEARCH(CategoryMap[Keyword],BankTransactions[[#This Row],[Description]]),CategoryMap[Category]),"Other")</f>
        <v>Supplier Payments</v>
      </c>
      <c r="G175" s="6">
        <f>BankTransactions[[#This Row],[Credit (SAR)]]-BankTransactions[[#This Row],[Debit (SAR)]]</f>
        <v>-4784.38</v>
      </c>
      <c r="H175" s="6">
        <f>Opening+SUM(INDEX(BankTransactions[Net (SAR)],1):BankTransactions[[#This Row],[Net (SAR)]])</f>
        <v>2047670.0300000003</v>
      </c>
    </row>
    <row r="176" spans="1:8" x14ac:dyDescent="0.2">
      <c r="A176" s="5" t="s">
        <v>255</v>
      </c>
      <c r="B176" s="4">
        <v>46022</v>
      </c>
      <c r="C176" s="2" t="s">
        <v>207</v>
      </c>
      <c r="D176" s="12">
        <v>12323.71</v>
      </c>
      <c r="E176" s="13">
        <v>0</v>
      </c>
      <c r="F176" s="19" t="str" cm="1">
        <f t="array" ref="F176">IFERROR(LOOKUP(2^15,SEARCH(CategoryMap[Keyword],BankTransactions[[#This Row],[Description]]),CategoryMap[Category]),"Other")</f>
        <v>Customer Receipts</v>
      </c>
      <c r="G176" s="6">
        <f>BankTransactions[[#This Row],[Credit (SAR)]]-BankTransactions[[#This Row],[Debit (SAR)]]</f>
        <v>12323.71</v>
      </c>
      <c r="H176" s="6">
        <f>Opening+SUM(INDEX(BankTransactions[Net (SAR)],1):BankTransactions[[#This Row],[Net (SAR)]])</f>
        <v>2059993.7400000002</v>
      </c>
    </row>
    <row r="177" spans="1:8" x14ac:dyDescent="0.2">
      <c r="A177" s="5" t="s">
        <v>256</v>
      </c>
      <c r="B177" s="4">
        <v>46022</v>
      </c>
      <c r="C177" s="2" t="s">
        <v>257</v>
      </c>
      <c r="D177" s="12">
        <v>3805.75</v>
      </c>
      <c r="E177" s="13">
        <v>0</v>
      </c>
      <c r="F177" s="19" t="str" cm="1">
        <f t="array" ref="F177">IFERROR(LOOKUP(2^15,SEARCH(CategoryMap[Keyword],BankTransactions[[#This Row],[Description]]),CategoryMap[Category]),"Other")</f>
        <v>Customer Receipts</v>
      </c>
      <c r="G177" s="6">
        <f>BankTransactions[[#This Row],[Credit (SAR)]]-BankTransactions[[#This Row],[Debit (SAR)]]</f>
        <v>3805.75</v>
      </c>
      <c r="H177" s="6">
        <f>Opening+SUM(INDEX(BankTransactions[Net (SAR)],1):BankTransactions[[#This Row],[Net (SAR)]])</f>
        <v>2063799.4900000002</v>
      </c>
    </row>
    <row r="178" spans="1:8" x14ac:dyDescent="0.2">
      <c r="A178" s="5" t="s">
        <v>258</v>
      </c>
      <c r="B178" s="4">
        <v>46022</v>
      </c>
      <c r="C178" s="2" t="s">
        <v>186</v>
      </c>
      <c r="D178" s="12">
        <v>1936.46</v>
      </c>
      <c r="E178" s="13">
        <v>0</v>
      </c>
      <c r="F178" s="19" t="str" cm="1">
        <f t="array" ref="F178">IFERROR(LOOKUP(2^15,SEARCH(CategoryMap[Keyword],BankTransactions[[#This Row],[Description]]),CategoryMap[Category]),"Other")</f>
        <v>Customer Receipts</v>
      </c>
      <c r="G178" s="6">
        <f>BankTransactions[[#This Row],[Credit (SAR)]]-BankTransactions[[#This Row],[Debit (SAR)]]</f>
        <v>1936.46</v>
      </c>
      <c r="H178" s="6">
        <f>Opening+SUM(INDEX(BankTransactions[Net (SAR)],1):BankTransactions[[#This Row],[Net (SAR)]])</f>
        <v>2065735.9500000002</v>
      </c>
    </row>
    <row r="179" spans="1:8" x14ac:dyDescent="0.2">
      <c r="A179" s="5" t="s">
        <v>259</v>
      </c>
      <c r="B179" s="4">
        <v>46022</v>
      </c>
      <c r="C179" s="2" t="s">
        <v>7</v>
      </c>
      <c r="D179" s="12">
        <v>0</v>
      </c>
      <c r="E179" s="13">
        <v>29322.31</v>
      </c>
      <c r="F179" s="19" t="str" cm="1">
        <f t="array" ref="F179">IFERROR(LOOKUP(2^15,SEARCH(CategoryMap[Keyword],BankTransactions[[#This Row],[Description]]),CategoryMap[Category]),"Other")</f>
        <v>Supplier Payments</v>
      </c>
      <c r="G179" s="6">
        <f>BankTransactions[[#This Row],[Credit (SAR)]]-BankTransactions[[#This Row],[Debit (SAR)]]</f>
        <v>-29322.31</v>
      </c>
      <c r="H179" s="6">
        <f>Opening+SUM(INDEX(BankTransactions[Net (SAR)],1):BankTransactions[[#This Row],[Net (SAR)]])</f>
        <v>2036413.6400000004</v>
      </c>
    </row>
    <row r="180" spans="1:8" x14ac:dyDescent="0.2">
      <c r="A180" s="5" t="s">
        <v>260</v>
      </c>
      <c r="B180" s="4">
        <v>46023</v>
      </c>
      <c r="C180" s="2" t="s">
        <v>261</v>
      </c>
      <c r="D180" s="12">
        <v>11160.05</v>
      </c>
      <c r="E180" s="13">
        <v>0</v>
      </c>
      <c r="F180" s="19" t="str" cm="1">
        <f t="array" ref="F180">IFERROR(LOOKUP(2^15,SEARCH(CategoryMap[Keyword],BankTransactions[[#This Row],[Description]]),CategoryMap[Category]),"Other")</f>
        <v>Customer Receipts</v>
      </c>
      <c r="G180" s="6">
        <f>BankTransactions[[#This Row],[Credit (SAR)]]-BankTransactions[[#This Row],[Debit (SAR)]]</f>
        <v>11160.05</v>
      </c>
      <c r="H180" s="6">
        <f>Opening+SUM(INDEX(BankTransactions[Net (SAR)],1):BankTransactions[[#This Row],[Net (SAR)]])</f>
        <v>2047573.6900000004</v>
      </c>
    </row>
    <row r="181" spans="1:8" x14ac:dyDescent="0.2">
      <c r="A181" s="5" t="s">
        <v>262</v>
      </c>
      <c r="B181" s="4">
        <v>46023</v>
      </c>
      <c r="C181" s="2" t="s">
        <v>1</v>
      </c>
      <c r="D181" s="12">
        <v>0</v>
      </c>
      <c r="E181" s="13">
        <v>38000</v>
      </c>
      <c r="F181" s="19" t="str" cm="1">
        <f t="array" ref="F181">IFERROR(LOOKUP(2^15,SEARCH(CategoryMap[Keyword],BankTransactions[[#This Row],[Description]]),CategoryMap[Category]),"Other")</f>
        <v>Rent</v>
      </c>
      <c r="G181" s="6">
        <f>BankTransactions[[#This Row],[Credit (SAR)]]-BankTransactions[[#This Row],[Debit (SAR)]]</f>
        <v>-38000</v>
      </c>
      <c r="H181" s="6">
        <f>Opening+SUM(INDEX(BankTransactions[Net (SAR)],1):BankTransactions[[#This Row],[Net (SAR)]])</f>
        <v>2009573.6900000004</v>
      </c>
    </row>
    <row r="182" spans="1:8" x14ac:dyDescent="0.2">
      <c r="A182" s="5" t="s">
        <v>263</v>
      </c>
      <c r="B182" s="4">
        <v>46024</v>
      </c>
      <c r="C182" s="2" t="s">
        <v>10</v>
      </c>
      <c r="D182" s="12">
        <v>0</v>
      </c>
      <c r="E182" s="13">
        <v>12163.26</v>
      </c>
      <c r="F182" s="19" t="str" cm="1">
        <f t="array" ref="F182">IFERROR(LOOKUP(2^15,SEARCH(CategoryMap[Keyword],BankTransactions[[#This Row],[Description]]),CategoryMap[Category]),"Other")</f>
        <v>Fuel &amp; Logistics</v>
      </c>
      <c r="G182" s="6">
        <f>BankTransactions[[#This Row],[Credit (SAR)]]-BankTransactions[[#This Row],[Debit (SAR)]]</f>
        <v>-12163.26</v>
      </c>
      <c r="H182" s="6">
        <f>Opening+SUM(INDEX(BankTransactions[Net (SAR)],1):BankTransactions[[#This Row],[Net (SAR)]])</f>
        <v>1997410.4300000002</v>
      </c>
    </row>
    <row r="183" spans="1:8" x14ac:dyDescent="0.2">
      <c r="A183" s="5" t="s">
        <v>264</v>
      </c>
      <c r="B183" s="4">
        <v>46025</v>
      </c>
      <c r="C183" s="2" t="s">
        <v>3</v>
      </c>
      <c r="D183" s="12">
        <v>0</v>
      </c>
      <c r="E183" s="13">
        <v>56252.05</v>
      </c>
      <c r="F183" s="19" t="str" cm="1">
        <f t="array" ref="F183">IFERROR(LOOKUP(2^15,SEARCH(CategoryMap[Keyword],BankTransactions[[#This Row],[Description]]),CategoryMap[Category]),"Other")</f>
        <v>Supplier Payments</v>
      </c>
      <c r="G183" s="6">
        <f>BankTransactions[[#This Row],[Credit (SAR)]]-BankTransactions[[#This Row],[Debit (SAR)]]</f>
        <v>-56252.05</v>
      </c>
      <c r="H183" s="6">
        <f>Opening+SUM(INDEX(BankTransactions[Net (SAR)],1):BankTransactions[[#This Row],[Net (SAR)]])</f>
        <v>1941158.3800000004</v>
      </c>
    </row>
    <row r="184" spans="1:8" x14ac:dyDescent="0.2">
      <c r="A184" s="5" t="s">
        <v>265</v>
      </c>
      <c r="B184" s="4">
        <v>46026</v>
      </c>
      <c r="C184" s="2" t="s">
        <v>266</v>
      </c>
      <c r="D184" s="12">
        <v>1884.33</v>
      </c>
      <c r="E184" s="13">
        <v>0</v>
      </c>
      <c r="F184" s="19" t="str" cm="1">
        <f t="array" ref="F184">IFERROR(LOOKUP(2^15,SEARCH(CategoryMap[Keyword],BankTransactions[[#This Row],[Description]]),CategoryMap[Category]),"Other")</f>
        <v>Customer Receipts</v>
      </c>
      <c r="G184" s="6">
        <f>BankTransactions[[#This Row],[Credit (SAR)]]-BankTransactions[[#This Row],[Debit (SAR)]]</f>
        <v>1884.33</v>
      </c>
      <c r="H184" s="6">
        <f>Opening+SUM(INDEX(BankTransactions[Net (SAR)],1):BankTransactions[[#This Row],[Net (SAR)]])</f>
        <v>1943042.7100000002</v>
      </c>
    </row>
    <row r="185" spans="1:8" x14ac:dyDescent="0.2">
      <c r="A185" s="5" t="s">
        <v>267</v>
      </c>
      <c r="B185" s="4">
        <v>46026</v>
      </c>
      <c r="C185" s="2" t="s">
        <v>268</v>
      </c>
      <c r="D185" s="12">
        <v>6510.14</v>
      </c>
      <c r="E185" s="13">
        <v>0</v>
      </c>
      <c r="F185" s="19" t="str" cm="1">
        <f t="array" ref="F185">IFERROR(LOOKUP(2^15,SEARCH(CategoryMap[Keyword],BankTransactions[[#This Row],[Description]]),CategoryMap[Category]),"Other")</f>
        <v>Customer Receipts</v>
      </c>
      <c r="G185" s="6">
        <f>BankTransactions[[#This Row],[Credit (SAR)]]-BankTransactions[[#This Row],[Debit (SAR)]]</f>
        <v>6510.14</v>
      </c>
      <c r="H185" s="6">
        <f>Opening+SUM(INDEX(BankTransactions[Net (SAR)],1):BankTransactions[[#This Row],[Net (SAR)]])</f>
        <v>1949552.85</v>
      </c>
    </row>
    <row r="186" spans="1:8" x14ac:dyDescent="0.2">
      <c r="A186" s="5" t="s">
        <v>269</v>
      </c>
      <c r="B186" s="4">
        <v>46026</v>
      </c>
      <c r="C186" s="2" t="s">
        <v>10</v>
      </c>
      <c r="D186" s="12">
        <v>0</v>
      </c>
      <c r="E186" s="13">
        <v>10140.450000000001</v>
      </c>
      <c r="F186" s="19" t="str" cm="1">
        <f t="array" ref="F186">IFERROR(LOOKUP(2^15,SEARCH(CategoryMap[Keyword],BankTransactions[[#This Row],[Description]]),CategoryMap[Category]),"Other")</f>
        <v>Fuel &amp; Logistics</v>
      </c>
      <c r="G186" s="6">
        <f>BankTransactions[[#This Row],[Credit (SAR)]]-BankTransactions[[#This Row],[Debit (SAR)]]</f>
        <v>-10140.450000000001</v>
      </c>
      <c r="H186" s="6">
        <f>Opening+SUM(INDEX(BankTransactions[Net (SAR)],1):BankTransactions[[#This Row],[Net (SAR)]])</f>
        <v>1939412.4000000004</v>
      </c>
    </row>
    <row r="187" spans="1:8" x14ac:dyDescent="0.2">
      <c r="A187" s="5" t="s">
        <v>270</v>
      </c>
      <c r="B187" s="4">
        <v>46026</v>
      </c>
      <c r="C187" s="2" t="s">
        <v>7</v>
      </c>
      <c r="D187" s="12">
        <v>0</v>
      </c>
      <c r="E187" s="13">
        <v>16417.61</v>
      </c>
      <c r="F187" s="19" t="str" cm="1">
        <f t="array" ref="F187">IFERROR(LOOKUP(2^15,SEARCH(CategoryMap[Keyword],BankTransactions[[#This Row],[Description]]),CategoryMap[Category]),"Other")</f>
        <v>Supplier Payments</v>
      </c>
      <c r="G187" s="6">
        <f>BankTransactions[[#This Row],[Credit (SAR)]]-BankTransactions[[#This Row],[Debit (SAR)]]</f>
        <v>-16417.61</v>
      </c>
      <c r="H187" s="6">
        <f>Opening+SUM(INDEX(BankTransactions[Net (SAR)],1):BankTransactions[[#This Row],[Net (SAR)]])</f>
        <v>1922994.7900000003</v>
      </c>
    </row>
    <row r="188" spans="1:8" x14ac:dyDescent="0.2">
      <c r="A188" s="5" t="s">
        <v>271</v>
      </c>
      <c r="B188" s="4">
        <v>46027</v>
      </c>
      <c r="C188" s="2" t="s">
        <v>272</v>
      </c>
      <c r="D188" s="12">
        <v>11776.16</v>
      </c>
      <c r="E188" s="13">
        <v>0</v>
      </c>
      <c r="F188" s="19" t="str" cm="1">
        <f t="array" ref="F188">IFERROR(LOOKUP(2^15,SEARCH(CategoryMap[Keyword],BankTransactions[[#This Row],[Description]]),CategoryMap[Category]),"Other")</f>
        <v>Customer Receipts</v>
      </c>
      <c r="G188" s="6">
        <f>BankTransactions[[#This Row],[Credit (SAR)]]-BankTransactions[[#This Row],[Debit (SAR)]]</f>
        <v>11776.16</v>
      </c>
      <c r="H188" s="6">
        <f>Opening+SUM(INDEX(BankTransactions[Net (SAR)],1):BankTransactions[[#This Row],[Net (SAR)]])</f>
        <v>1934770.9500000002</v>
      </c>
    </row>
    <row r="189" spans="1:8" x14ac:dyDescent="0.2">
      <c r="A189" s="5" t="s">
        <v>273</v>
      </c>
      <c r="B189" s="4">
        <v>46027</v>
      </c>
      <c r="C189" s="2" t="s">
        <v>186</v>
      </c>
      <c r="D189" s="12">
        <v>8034.35</v>
      </c>
      <c r="E189" s="13">
        <v>0</v>
      </c>
      <c r="F189" s="19" t="str" cm="1">
        <f t="array" ref="F189">IFERROR(LOOKUP(2^15,SEARCH(CategoryMap[Keyword],BankTransactions[[#This Row],[Description]]),CategoryMap[Category]),"Other")</f>
        <v>Customer Receipts</v>
      </c>
      <c r="G189" s="6">
        <f>BankTransactions[[#This Row],[Credit (SAR)]]-BankTransactions[[#This Row],[Debit (SAR)]]</f>
        <v>8034.35</v>
      </c>
      <c r="H189" s="6">
        <f>Opening+SUM(INDEX(BankTransactions[Net (SAR)],1):BankTransactions[[#This Row],[Net (SAR)]])</f>
        <v>1942805.3000000003</v>
      </c>
    </row>
    <row r="190" spans="1:8" x14ac:dyDescent="0.2">
      <c r="A190" s="5" t="s">
        <v>274</v>
      </c>
      <c r="B190" s="4">
        <v>46029</v>
      </c>
      <c r="C190" s="2" t="s">
        <v>275</v>
      </c>
      <c r="D190" s="12">
        <v>8817.39</v>
      </c>
      <c r="E190" s="13">
        <v>0</v>
      </c>
      <c r="F190" s="19" t="str" cm="1">
        <f t="array" ref="F190">IFERROR(LOOKUP(2^15,SEARCH(CategoryMap[Keyword],BankTransactions[[#This Row],[Description]]),CategoryMap[Category]),"Other")</f>
        <v>Customer Receipts</v>
      </c>
      <c r="G190" s="6">
        <f>BankTransactions[[#This Row],[Credit (SAR)]]-BankTransactions[[#This Row],[Debit (SAR)]]</f>
        <v>8817.39</v>
      </c>
      <c r="H190" s="6">
        <f>Opening+SUM(INDEX(BankTransactions[Net (SAR)],1):BankTransactions[[#This Row],[Net (SAR)]])</f>
        <v>1951622.6900000004</v>
      </c>
    </row>
    <row r="191" spans="1:8" x14ac:dyDescent="0.2">
      <c r="A191" s="5" t="s">
        <v>276</v>
      </c>
      <c r="B191" s="4">
        <v>46029</v>
      </c>
      <c r="C191" s="2" t="s">
        <v>277</v>
      </c>
      <c r="D191" s="12">
        <v>9839.2000000000007</v>
      </c>
      <c r="E191" s="13">
        <v>0</v>
      </c>
      <c r="F191" s="19" t="str" cm="1">
        <f t="array" ref="F191">IFERROR(LOOKUP(2^15,SEARCH(CategoryMap[Keyword],BankTransactions[[#This Row],[Description]]),CategoryMap[Category]),"Other")</f>
        <v>Customer Receipts</v>
      </c>
      <c r="G191" s="6">
        <f>BankTransactions[[#This Row],[Credit (SAR)]]-BankTransactions[[#This Row],[Debit (SAR)]]</f>
        <v>9839.2000000000007</v>
      </c>
      <c r="H191" s="6">
        <f>Opening+SUM(INDEX(BankTransactions[Net (SAR)],1):BankTransactions[[#This Row],[Net (SAR)]])</f>
        <v>1961461.8900000001</v>
      </c>
    </row>
    <row r="192" spans="1:8" x14ac:dyDescent="0.2">
      <c r="A192" s="5" t="s">
        <v>278</v>
      </c>
      <c r="B192" s="4">
        <v>46029</v>
      </c>
      <c r="C192" s="2" t="s">
        <v>279</v>
      </c>
      <c r="D192" s="12">
        <v>17716.03</v>
      </c>
      <c r="E192" s="13">
        <v>0</v>
      </c>
      <c r="F192" s="19" t="str" cm="1">
        <f t="array" ref="F192">IFERROR(LOOKUP(2^15,SEARCH(CategoryMap[Keyword],BankTransactions[[#This Row],[Description]]),CategoryMap[Category]),"Other")</f>
        <v>Customer Receipts</v>
      </c>
      <c r="G192" s="6">
        <f>BankTransactions[[#This Row],[Credit (SAR)]]-BankTransactions[[#This Row],[Debit (SAR)]]</f>
        <v>17716.03</v>
      </c>
      <c r="H192" s="6">
        <f>Opening+SUM(INDEX(BankTransactions[Net (SAR)],1):BankTransactions[[#This Row],[Net (SAR)]])</f>
        <v>1979177.9200000004</v>
      </c>
    </row>
    <row r="193" spans="1:8" x14ac:dyDescent="0.2">
      <c r="A193" s="5" t="s">
        <v>280</v>
      </c>
      <c r="B193" s="4">
        <v>46029</v>
      </c>
      <c r="C193" s="2" t="s">
        <v>3</v>
      </c>
      <c r="D193" s="12">
        <v>0</v>
      </c>
      <c r="E193" s="13">
        <v>16396.650000000001</v>
      </c>
      <c r="F193" s="19" t="str" cm="1">
        <f t="array" ref="F193">IFERROR(LOOKUP(2^15,SEARCH(CategoryMap[Keyword],BankTransactions[[#This Row],[Description]]),CategoryMap[Category]),"Other")</f>
        <v>Supplier Payments</v>
      </c>
      <c r="G193" s="6">
        <f>BankTransactions[[#This Row],[Credit (SAR)]]-BankTransactions[[#This Row],[Debit (SAR)]]</f>
        <v>-16396.650000000001</v>
      </c>
      <c r="H193" s="6">
        <f>Opening+SUM(INDEX(BankTransactions[Net (SAR)],1):BankTransactions[[#This Row],[Net (SAR)]])</f>
        <v>1962781.2700000003</v>
      </c>
    </row>
    <row r="194" spans="1:8" x14ac:dyDescent="0.2">
      <c r="A194" s="5" t="s">
        <v>281</v>
      </c>
      <c r="B194" s="4">
        <v>46030</v>
      </c>
      <c r="C194" s="2" t="s">
        <v>282</v>
      </c>
      <c r="D194" s="12">
        <v>5949.49</v>
      </c>
      <c r="E194" s="13">
        <v>0</v>
      </c>
      <c r="F194" s="19" t="str" cm="1">
        <f t="array" ref="F194">IFERROR(LOOKUP(2^15,SEARCH(CategoryMap[Keyword],BankTransactions[[#This Row],[Description]]),CategoryMap[Category]),"Other")</f>
        <v>Customer Receipts</v>
      </c>
      <c r="G194" s="6">
        <f>BankTransactions[[#This Row],[Credit (SAR)]]-BankTransactions[[#This Row],[Debit (SAR)]]</f>
        <v>5949.49</v>
      </c>
      <c r="H194" s="6">
        <f>Opening+SUM(INDEX(BankTransactions[Net (SAR)],1):BankTransactions[[#This Row],[Net (SAR)]])</f>
        <v>1968730.7600000002</v>
      </c>
    </row>
    <row r="195" spans="1:8" x14ac:dyDescent="0.2">
      <c r="A195" s="5" t="s">
        <v>283</v>
      </c>
      <c r="B195" s="4">
        <v>46030</v>
      </c>
      <c r="C195" s="2" t="s">
        <v>112</v>
      </c>
      <c r="D195" s="12">
        <v>8250.2000000000007</v>
      </c>
      <c r="E195" s="13">
        <v>0</v>
      </c>
      <c r="F195" s="19" t="str" cm="1">
        <f t="array" ref="F195">IFERROR(LOOKUP(2^15,SEARCH(CategoryMap[Keyword],BankTransactions[[#This Row],[Description]]),CategoryMap[Category]),"Other")</f>
        <v>Customer Receipts</v>
      </c>
      <c r="G195" s="6">
        <f>BankTransactions[[#This Row],[Credit (SAR)]]-BankTransactions[[#This Row],[Debit (SAR)]]</f>
        <v>8250.2000000000007</v>
      </c>
      <c r="H195" s="6">
        <f>Opening+SUM(INDEX(BankTransactions[Net (SAR)],1):BankTransactions[[#This Row],[Net (SAR)]])</f>
        <v>1976980.9600000002</v>
      </c>
    </row>
    <row r="196" spans="1:8" x14ac:dyDescent="0.2">
      <c r="A196" s="5" t="s">
        <v>284</v>
      </c>
      <c r="B196" s="4">
        <v>46030</v>
      </c>
      <c r="C196" s="2" t="s">
        <v>10</v>
      </c>
      <c r="D196" s="12">
        <v>0</v>
      </c>
      <c r="E196" s="13">
        <v>41494.76</v>
      </c>
      <c r="F196" s="19" t="str" cm="1">
        <f t="array" ref="F196">IFERROR(LOOKUP(2^15,SEARCH(CategoryMap[Keyword],BankTransactions[[#This Row],[Description]]),CategoryMap[Category]),"Other")</f>
        <v>Fuel &amp; Logistics</v>
      </c>
      <c r="G196" s="6">
        <f>BankTransactions[[#This Row],[Credit (SAR)]]-BankTransactions[[#This Row],[Debit (SAR)]]</f>
        <v>-41494.76</v>
      </c>
      <c r="H196" s="6">
        <f>Opening+SUM(INDEX(BankTransactions[Net (SAR)],1):BankTransactions[[#This Row],[Net (SAR)]])</f>
        <v>1935486.2000000002</v>
      </c>
    </row>
    <row r="197" spans="1:8" x14ac:dyDescent="0.2">
      <c r="A197" s="5" t="s">
        <v>285</v>
      </c>
      <c r="B197" s="4">
        <v>46031</v>
      </c>
      <c r="C197" s="2" t="s">
        <v>286</v>
      </c>
      <c r="D197" s="12">
        <v>1355.87</v>
      </c>
      <c r="E197" s="13">
        <v>0</v>
      </c>
      <c r="F197" s="19" t="str" cm="1">
        <f t="array" ref="F197">IFERROR(LOOKUP(2^15,SEARCH(CategoryMap[Keyword],BankTransactions[[#This Row],[Description]]),CategoryMap[Category]),"Other")</f>
        <v>Customer Receipts</v>
      </c>
      <c r="G197" s="6">
        <f>BankTransactions[[#This Row],[Credit (SAR)]]-BankTransactions[[#This Row],[Debit (SAR)]]</f>
        <v>1355.87</v>
      </c>
      <c r="H197" s="6">
        <f>Opening+SUM(INDEX(BankTransactions[Net (SAR)],1):BankTransactions[[#This Row],[Net (SAR)]])</f>
        <v>1936842.0700000003</v>
      </c>
    </row>
    <row r="198" spans="1:8" x14ac:dyDescent="0.2">
      <c r="A198" s="5" t="s">
        <v>287</v>
      </c>
      <c r="B198" s="4">
        <v>46031</v>
      </c>
      <c r="C198" s="2" t="s">
        <v>288</v>
      </c>
      <c r="D198" s="12">
        <v>2025.33</v>
      </c>
      <c r="E198" s="13">
        <v>0</v>
      </c>
      <c r="F198" s="19" t="str" cm="1">
        <f t="array" ref="F198">IFERROR(LOOKUP(2^15,SEARCH(CategoryMap[Keyword],BankTransactions[[#This Row],[Description]]),CategoryMap[Category]),"Other")</f>
        <v>Customer Receipts</v>
      </c>
      <c r="G198" s="6">
        <f>BankTransactions[[#This Row],[Credit (SAR)]]-BankTransactions[[#This Row],[Debit (SAR)]]</f>
        <v>2025.33</v>
      </c>
      <c r="H198" s="6">
        <f>Opening+SUM(INDEX(BankTransactions[Net (SAR)],1):BankTransactions[[#This Row],[Net (SAR)]])</f>
        <v>1938867.4000000004</v>
      </c>
    </row>
    <row r="199" spans="1:8" x14ac:dyDescent="0.2">
      <c r="A199" s="5" t="s">
        <v>289</v>
      </c>
      <c r="B199" s="4">
        <v>46031</v>
      </c>
      <c r="C199" s="2" t="s">
        <v>110</v>
      </c>
      <c r="D199" s="12">
        <v>5040.8900000000003</v>
      </c>
      <c r="E199" s="13">
        <v>0</v>
      </c>
      <c r="F199" s="19" t="str" cm="1">
        <f t="array" ref="F199">IFERROR(LOOKUP(2^15,SEARCH(CategoryMap[Keyword],BankTransactions[[#This Row],[Description]]),CategoryMap[Category]),"Other")</f>
        <v>Customer Receipts</v>
      </c>
      <c r="G199" s="6">
        <f>BankTransactions[[#This Row],[Credit (SAR)]]-BankTransactions[[#This Row],[Debit (SAR)]]</f>
        <v>5040.8900000000003</v>
      </c>
      <c r="H199" s="6">
        <f>Opening+SUM(INDEX(BankTransactions[Net (SAR)],1):BankTransactions[[#This Row],[Net (SAR)]])</f>
        <v>1943908.2900000003</v>
      </c>
    </row>
    <row r="200" spans="1:8" x14ac:dyDescent="0.2">
      <c r="A200" s="5" t="s">
        <v>290</v>
      </c>
      <c r="B200" s="4">
        <v>46033</v>
      </c>
      <c r="C200" s="2" t="s">
        <v>291</v>
      </c>
      <c r="D200" s="12">
        <v>17149</v>
      </c>
      <c r="E200" s="13">
        <v>0</v>
      </c>
      <c r="F200" s="19" t="str" cm="1">
        <f t="array" ref="F200">IFERROR(LOOKUP(2^15,SEARCH(CategoryMap[Keyword],BankTransactions[[#This Row],[Description]]),CategoryMap[Category]),"Other")</f>
        <v>Customer Receipts</v>
      </c>
      <c r="G200" s="6">
        <f>BankTransactions[[#This Row],[Credit (SAR)]]-BankTransactions[[#This Row],[Debit (SAR)]]</f>
        <v>17149</v>
      </c>
      <c r="H200" s="6">
        <f>Opening+SUM(INDEX(BankTransactions[Net (SAR)],1):BankTransactions[[#This Row],[Net (SAR)]])</f>
        <v>1961057.2900000003</v>
      </c>
    </row>
    <row r="201" spans="1:8" x14ac:dyDescent="0.2">
      <c r="A201" s="5" t="s">
        <v>292</v>
      </c>
      <c r="B201" s="4">
        <v>46034</v>
      </c>
      <c r="C201" s="2" t="s">
        <v>293</v>
      </c>
      <c r="D201" s="12">
        <v>21157.42</v>
      </c>
      <c r="E201" s="13">
        <v>0</v>
      </c>
      <c r="F201" s="19" t="str" cm="1">
        <f t="array" ref="F201">IFERROR(LOOKUP(2^15,SEARCH(CategoryMap[Keyword],BankTransactions[[#This Row],[Description]]),CategoryMap[Category]),"Other")</f>
        <v>Customer Receipts</v>
      </c>
      <c r="G201" s="6">
        <f>BankTransactions[[#This Row],[Credit (SAR)]]-BankTransactions[[#This Row],[Debit (SAR)]]</f>
        <v>21157.42</v>
      </c>
      <c r="H201" s="6">
        <f>Opening+SUM(INDEX(BankTransactions[Net (SAR)],1):BankTransactions[[#This Row],[Net (SAR)]])</f>
        <v>1982214.7100000002</v>
      </c>
    </row>
    <row r="202" spans="1:8" x14ac:dyDescent="0.2">
      <c r="A202" s="5" t="s">
        <v>294</v>
      </c>
      <c r="B202" s="4">
        <v>46034</v>
      </c>
      <c r="C202" s="2" t="s">
        <v>261</v>
      </c>
      <c r="D202" s="12">
        <v>15677.93</v>
      </c>
      <c r="E202" s="13">
        <v>0</v>
      </c>
      <c r="F202" s="19" t="str" cm="1">
        <f t="array" ref="F202">IFERROR(LOOKUP(2^15,SEARCH(CategoryMap[Keyword],BankTransactions[[#This Row],[Description]]),CategoryMap[Category]),"Other")</f>
        <v>Customer Receipts</v>
      </c>
      <c r="G202" s="6">
        <f>BankTransactions[[#This Row],[Credit (SAR)]]-BankTransactions[[#This Row],[Debit (SAR)]]</f>
        <v>15677.93</v>
      </c>
      <c r="H202" s="6">
        <f>Opening+SUM(INDEX(BankTransactions[Net (SAR)],1):BankTransactions[[#This Row],[Net (SAR)]])</f>
        <v>1997892.6400000001</v>
      </c>
    </row>
    <row r="203" spans="1:8" x14ac:dyDescent="0.2">
      <c r="A203" s="5" t="s">
        <v>295</v>
      </c>
      <c r="B203" s="4">
        <v>46034</v>
      </c>
      <c r="C203" s="2" t="s">
        <v>12</v>
      </c>
      <c r="D203" s="12">
        <v>22128</v>
      </c>
      <c r="E203" s="13">
        <v>0</v>
      </c>
      <c r="F203" s="19" t="str" cm="1">
        <f t="array" ref="F203">IFERROR(LOOKUP(2^15,SEARCH(CategoryMap[Keyword],BankTransactions[[#This Row],[Description]]),CategoryMap[Category]),"Other")</f>
        <v>Cash Deposits</v>
      </c>
      <c r="G203" s="6">
        <f>BankTransactions[[#This Row],[Credit (SAR)]]-BankTransactions[[#This Row],[Debit (SAR)]]</f>
        <v>22128</v>
      </c>
      <c r="H203" s="6">
        <f>Opening+SUM(INDEX(BankTransactions[Net (SAR)],1):BankTransactions[[#This Row],[Net (SAR)]])</f>
        <v>2020020.6400000001</v>
      </c>
    </row>
    <row r="204" spans="1:8" x14ac:dyDescent="0.2">
      <c r="A204" s="5" t="s">
        <v>296</v>
      </c>
      <c r="B204" s="4">
        <v>46035</v>
      </c>
      <c r="C204" s="2" t="s">
        <v>297</v>
      </c>
      <c r="D204" s="12">
        <v>2774.28</v>
      </c>
      <c r="E204" s="13">
        <v>0</v>
      </c>
      <c r="F204" s="19" t="str" cm="1">
        <f t="array" ref="F204">IFERROR(LOOKUP(2^15,SEARCH(CategoryMap[Keyword],BankTransactions[[#This Row],[Description]]),CategoryMap[Category]),"Other")</f>
        <v>Customer Receipts</v>
      </c>
      <c r="G204" s="6">
        <f>BankTransactions[[#This Row],[Credit (SAR)]]-BankTransactions[[#This Row],[Debit (SAR)]]</f>
        <v>2774.28</v>
      </c>
      <c r="H204" s="6">
        <f>Opening+SUM(INDEX(BankTransactions[Net (SAR)],1):BankTransactions[[#This Row],[Net (SAR)]])</f>
        <v>2022794.9200000004</v>
      </c>
    </row>
    <row r="205" spans="1:8" x14ac:dyDescent="0.2">
      <c r="A205" s="5" t="s">
        <v>298</v>
      </c>
      <c r="B205" s="4">
        <v>46035</v>
      </c>
      <c r="C205" s="2" t="s">
        <v>299</v>
      </c>
      <c r="D205" s="12">
        <v>5447.11</v>
      </c>
      <c r="E205" s="13">
        <v>0</v>
      </c>
      <c r="F205" s="19" t="str" cm="1">
        <f t="array" ref="F205">IFERROR(LOOKUP(2^15,SEARCH(CategoryMap[Keyword],BankTransactions[[#This Row],[Description]]),CategoryMap[Category]),"Other")</f>
        <v>Customer Receipts</v>
      </c>
      <c r="G205" s="6">
        <f>BankTransactions[[#This Row],[Credit (SAR)]]-BankTransactions[[#This Row],[Debit (SAR)]]</f>
        <v>5447.11</v>
      </c>
      <c r="H205" s="6">
        <f>Opening+SUM(INDEX(BankTransactions[Net (SAR)],1):BankTransactions[[#This Row],[Net (SAR)]])</f>
        <v>2028242.0300000003</v>
      </c>
    </row>
    <row r="206" spans="1:8" x14ac:dyDescent="0.2">
      <c r="A206" s="5" t="s">
        <v>300</v>
      </c>
      <c r="B206" s="4">
        <v>46035</v>
      </c>
      <c r="C206" s="2" t="s">
        <v>10</v>
      </c>
      <c r="D206" s="12">
        <v>4536.43</v>
      </c>
      <c r="E206" s="13">
        <v>14054.53</v>
      </c>
      <c r="F206" s="19" t="str" cm="1">
        <f t="array" ref="F206">IFERROR(LOOKUP(2^15,SEARCH(CategoryMap[Keyword],BankTransactions[[#This Row],[Description]]),CategoryMap[Category]),"Other")</f>
        <v>Fuel &amp; Logistics</v>
      </c>
      <c r="G206" s="6">
        <f>BankTransactions[[#This Row],[Credit (SAR)]]-BankTransactions[[#This Row],[Debit (SAR)]]</f>
        <v>-9518.1</v>
      </c>
      <c r="H206" s="6">
        <f>Opening+SUM(INDEX(BankTransactions[Net (SAR)],1):BankTransactions[[#This Row],[Net (SAR)]])</f>
        <v>2018723.9300000002</v>
      </c>
    </row>
    <row r="207" spans="1:8" x14ac:dyDescent="0.2">
      <c r="A207" s="5" t="s">
        <v>301</v>
      </c>
      <c r="B207" s="4">
        <v>46035</v>
      </c>
      <c r="C207" s="2" t="s">
        <v>12</v>
      </c>
      <c r="D207" s="12">
        <v>49946.67</v>
      </c>
      <c r="E207" s="13">
        <v>0</v>
      </c>
      <c r="F207" s="19" t="str" cm="1">
        <f t="array" ref="F207">IFERROR(LOOKUP(2^15,SEARCH(CategoryMap[Keyword],BankTransactions[[#This Row],[Description]]),CategoryMap[Category]),"Other")</f>
        <v>Cash Deposits</v>
      </c>
      <c r="G207" s="6">
        <f>BankTransactions[[#This Row],[Credit (SAR)]]-BankTransactions[[#This Row],[Debit (SAR)]]</f>
        <v>49946.67</v>
      </c>
      <c r="H207" s="6">
        <f>Opening+SUM(INDEX(BankTransactions[Net (SAR)],1):BankTransactions[[#This Row],[Net (SAR)]])</f>
        <v>2068670.6000000003</v>
      </c>
    </row>
    <row r="208" spans="1:8" x14ac:dyDescent="0.2">
      <c r="A208" s="5" t="s">
        <v>302</v>
      </c>
      <c r="B208" s="4">
        <v>46037</v>
      </c>
      <c r="C208" s="2" t="s">
        <v>243</v>
      </c>
      <c r="D208" s="12">
        <v>1336.75</v>
      </c>
      <c r="E208" s="13">
        <v>0</v>
      </c>
      <c r="F208" s="19" t="str" cm="1">
        <f t="array" ref="F208">IFERROR(LOOKUP(2^15,SEARCH(CategoryMap[Keyword],BankTransactions[[#This Row],[Description]]),CategoryMap[Category]),"Other")</f>
        <v>Customer Receipts</v>
      </c>
      <c r="G208" s="6">
        <f>BankTransactions[[#This Row],[Credit (SAR)]]-BankTransactions[[#This Row],[Debit (SAR)]]</f>
        <v>1336.75</v>
      </c>
      <c r="H208" s="6">
        <f>Opening+SUM(INDEX(BankTransactions[Net (SAR)],1):BankTransactions[[#This Row],[Net (SAR)]])</f>
        <v>2070007.3500000003</v>
      </c>
    </row>
    <row r="209" spans="1:8" x14ac:dyDescent="0.2">
      <c r="A209" s="5" t="s">
        <v>303</v>
      </c>
      <c r="B209" s="4">
        <v>46038</v>
      </c>
      <c r="C209" s="2" t="s">
        <v>207</v>
      </c>
      <c r="D209" s="12">
        <v>17663.11</v>
      </c>
      <c r="E209" s="13">
        <v>0</v>
      </c>
      <c r="F209" s="19" t="str" cm="1">
        <f t="array" ref="F209">IFERROR(LOOKUP(2^15,SEARCH(CategoryMap[Keyword],BankTransactions[[#This Row],[Description]]),CategoryMap[Category]),"Other")</f>
        <v>Customer Receipts</v>
      </c>
      <c r="G209" s="6">
        <f>BankTransactions[[#This Row],[Credit (SAR)]]-BankTransactions[[#This Row],[Debit (SAR)]]</f>
        <v>17663.11</v>
      </c>
      <c r="H209" s="6">
        <f>Opening+SUM(INDEX(BankTransactions[Net (SAR)],1):BankTransactions[[#This Row],[Net (SAR)]])</f>
        <v>2087670.4600000002</v>
      </c>
    </row>
    <row r="210" spans="1:8" x14ac:dyDescent="0.2">
      <c r="A210" s="5" t="s">
        <v>304</v>
      </c>
      <c r="B210" s="4">
        <v>46038</v>
      </c>
      <c r="C210" s="2" t="s">
        <v>3</v>
      </c>
      <c r="D210" s="12">
        <v>0</v>
      </c>
      <c r="E210" s="13">
        <v>14680.53</v>
      </c>
      <c r="F210" s="19" t="str" cm="1">
        <f t="array" ref="F210">IFERROR(LOOKUP(2^15,SEARCH(CategoryMap[Keyword],BankTransactions[[#This Row],[Description]]),CategoryMap[Category]),"Other")</f>
        <v>Supplier Payments</v>
      </c>
      <c r="G210" s="6">
        <f>BankTransactions[[#This Row],[Credit (SAR)]]-BankTransactions[[#This Row],[Debit (SAR)]]</f>
        <v>-14680.53</v>
      </c>
      <c r="H210" s="6">
        <f>Opening+SUM(INDEX(BankTransactions[Net (SAR)],1):BankTransactions[[#This Row],[Net (SAR)]])</f>
        <v>2072989.9300000002</v>
      </c>
    </row>
    <row r="211" spans="1:8" x14ac:dyDescent="0.2">
      <c r="A211" s="5" t="s">
        <v>305</v>
      </c>
      <c r="B211" s="4">
        <v>46038</v>
      </c>
      <c r="C211" s="2" t="s">
        <v>7</v>
      </c>
      <c r="D211" s="12">
        <v>0</v>
      </c>
      <c r="E211" s="13">
        <v>0</v>
      </c>
      <c r="F211" s="19" t="str" cm="1">
        <f t="array" ref="F211">IFERROR(LOOKUP(2^15,SEARCH(CategoryMap[Keyword],BankTransactions[[#This Row],[Description]]),CategoryMap[Category]),"Other")</f>
        <v>Supplier Payments</v>
      </c>
      <c r="G211" s="6">
        <f>BankTransactions[[#This Row],[Credit (SAR)]]-BankTransactions[[#This Row],[Debit (SAR)]]</f>
        <v>0</v>
      </c>
      <c r="H211" s="6">
        <f>Opening+SUM(INDEX(BankTransactions[Net (SAR)],1):BankTransactions[[#This Row],[Net (SAR)]])</f>
        <v>2072989.9300000002</v>
      </c>
    </row>
    <row r="212" spans="1:8" x14ac:dyDescent="0.2">
      <c r="A212" s="5" t="s">
        <v>306</v>
      </c>
      <c r="B212" s="4">
        <v>46039</v>
      </c>
      <c r="C212" s="2" t="s">
        <v>140</v>
      </c>
      <c r="D212" s="12">
        <v>2012.21</v>
      </c>
      <c r="E212" s="13">
        <v>0</v>
      </c>
      <c r="F212" s="19" t="str" cm="1">
        <f t="array" ref="F212">IFERROR(LOOKUP(2^15,SEARCH(CategoryMap[Keyword],BankTransactions[[#This Row],[Description]]),CategoryMap[Category]),"Other")</f>
        <v>Customer Receipts</v>
      </c>
      <c r="G212" s="6">
        <f>BankTransactions[[#This Row],[Credit (SAR)]]-BankTransactions[[#This Row],[Debit (SAR)]]</f>
        <v>2012.21</v>
      </c>
      <c r="H212" s="6">
        <f>Opening+SUM(INDEX(BankTransactions[Net (SAR)],1):BankTransactions[[#This Row],[Net (SAR)]])</f>
        <v>2075002.1400000001</v>
      </c>
    </row>
    <row r="213" spans="1:8" x14ac:dyDescent="0.2">
      <c r="A213" s="5" t="s">
        <v>307</v>
      </c>
      <c r="B213" s="4">
        <v>46039</v>
      </c>
      <c r="C213" s="2" t="s">
        <v>308</v>
      </c>
      <c r="D213" s="12">
        <v>41524.629999999997</v>
      </c>
      <c r="E213" s="13">
        <v>0</v>
      </c>
      <c r="F213" s="19" t="str" cm="1">
        <f t="array" ref="F213">IFERROR(LOOKUP(2^15,SEARCH(CategoryMap[Keyword],BankTransactions[[#This Row],[Description]]),CategoryMap[Category]),"Other")</f>
        <v>Customer Receipts</v>
      </c>
      <c r="G213" s="6">
        <f>BankTransactions[[#This Row],[Credit (SAR)]]-BankTransactions[[#This Row],[Debit (SAR)]]</f>
        <v>41524.629999999997</v>
      </c>
      <c r="H213" s="6">
        <f>Opening+SUM(INDEX(BankTransactions[Net (SAR)],1):BankTransactions[[#This Row],[Net (SAR)]])</f>
        <v>2116526.7700000005</v>
      </c>
    </row>
    <row r="214" spans="1:8" x14ac:dyDescent="0.2">
      <c r="A214" s="5" t="s">
        <v>309</v>
      </c>
      <c r="B214" s="4">
        <v>46039</v>
      </c>
      <c r="C214" s="2" t="s">
        <v>310</v>
      </c>
      <c r="D214" s="12">
        <v>11809.41</v>
      </c>
      <c r="E214" s="13">
        <v>0</v>
      </c>
      <c r="F214" s="19" t="str" cm="1">
        <f t="array" ref="F214">IFERROR(LOOKUP(2^15,SEARCH(CategoryMap[Keyword],BankTransactions[[#This Row],[Description]]),CategoryMap[Category]),"Other")</f>
        <v>Customer Receipts</v>
      </c>
      <c r="G214" s="6">
        <f>BankTransactions[[#This Row],[Credit (SAR)]]-BankTransactions[[#This Row],[Debit (SAR)]]</f>
        <v>11809.41</v>
      </c>
      <c r="H214" s="6">
        <f>Opening+SUM(INDEX(BankTransactions[Net (SAR)],1):BankTransactions[[#This Row],[Net (SAR)]])</f>
        <v>2128336.1800000002</v>
      </c>
    </row>
    <row r="215" spans="1:8" x14ac:dyDescent="0.2">
      <c r="A215" s="5" t="s">
        <v>311</v>
      </c>
      <c r="B215" s="4">
        <v>46040</v>
      </c>
      <c r="C215" s="2" t="s">
        <v>207</v>
      </c>
      <c r="D215" s="12">
        <v>5757.51</v>
      </c>
      <c r="E215" s="13">
        <v>0</v>
      </c>
      <c r="F215" s="19" t="str" cm="1">
        <f t="array" ref="F215">IFERROR(LOOKUP(2^15,SEARCH(CategoryMap[Keyword],BankTransactions[[#This Row],[Description]]),CategoryMap[Category]),"Other")</f>
        <v>Customer Receipts</v>
      </c>
      <c r="G215" s="6">
        <f>BankTransactions[[#This Row],[Credit (SAR)]]-BankTransactions[[#This Row],[Debit (SAR)]]</f>
        <v>5757.51</v>
      </c>
      <c r="H215" s="6">
        <f>Opening+SUM(INDEX(BankTransactions[Net (SAR)],1):BankTransactions[[#This Row],[Net (SAR)]])</f>
        <v>2134093.6900000004</v>
      </c>
    </row>
    <row r="216" spans="1:8" x14ac:dyDescent="0.2">
      <c r="A216" s="5" t="s">
        <v>312</v>
      </c>
      <c r="B216" s="4">
        <v>46040</v>
      </c>
      <c r="C216" s="2" t="s">
        <v>3</v>
      </c>
      <c r="D216" s="12">
        <v>0</v>
      </c>
      <c r="E216" s="13">
        <v>30869.05</v>
      </c>
      <c r="F216" s="19" t="str" cm="1">
        <f t="array" ref="F216">IFERROR(LOOKUP(2^15,SEARCH(CategoryMap[Keyword],BankTransactions[[#This Row],[Description]]),CategoryMap[Category]),"Other")</f>
        <v>Supplier Payments</v>
      </c>
      <c r="G216" s="6">
        <f>BankTransactions[[#This Row],[Credit (SAR)]]-BankTransactions[[#This Row],[Debit (SAR)]]</f>
        <v>-30869.05</v>
      </c>
      <c r="H216" s="6">
        <f>Opening+SUM(INDEX(BankTransactions[Net (SAR)],1):BankTransactions[[#This Row],[Net (SAR)]])</f>
        <v>2103224.64</v>
      </c>
    </row>
    <row r="217" spans="1:8" x14ac:dyDescent="0.2">
      <c r="A217" s="5" t="s">
        <v>313</v>
      </c>
      <c r="B217" s="4">
        <v>46041</v>
      </c>
      <c r="C217" s="2" t="s">
        <v>314</v>
      </c>
      <c r="D217" s="12">
        <v>7821.02</v>
      </c>
      <c r="E217" s="13">
        <v>0</v>
      </c>
      <c r="F217" s="19" t="str" cm="1">
        <f t="array" ref="F217">IFERROR(LOOKUP(2^15,SEARCH(CategoryMap[Keyword],BankTransactions[[#This Row],[Description]]),CategoryMap[Category]),"Other")</f>
        <v>Customer Receipts</v>
      </c>
      <c r="G217" s="6">
        <f>BankTransactions[[#This Row],[Credit (SAR)]]-BankTransactions[[#This Row],[Debit (SAR)]]</f>
        <v>7821.02</v>
      </c>
      <c r="H217" s="6">
        <f>Opening+SUM(INDEX(BankTransactions[Net (SAR)],1):BankTransactions[[#This Row],[Net (SAR)]])</f>
        <v>2111045.66</v>
      </c>
    </row>
    <row r="218" spans="1:8" x14ac:dyDescent="0.2">
      <c r="A218" s="5" t="s">
        <v>315</v>
      </c>
      <c r="B218" s="4">
        <v>46041</v>
      </c>
      <c r="C218" s="2" t="s">
        <v>316</v>
      </c>
      <c r="D218" s="12">
        <v>2368.06</v>
      </c>
      <c r="E218" s="13">
        <v>0</v>
      </c>
      <c r="F218" s="19" t="str" cm="1">
        <f t="array" ref="F218">IFERROR(LOOKUP(2^15,SEARCH(CategoryMap[Keyword],BankTransactions[[#This Row],[Description]]),CategoryMap[Category]),"Other")</f>
        <v>Customer Receipts</v>
      </c>
      <c r="G218" s="6">
        <f>BankTransactions[[#This Row],[Credit (SAR)]]-BankTransactions[[#This Row],[Debit (SAR)]]</f>
        <v>2368.06</v>
      </c>
      <c r="H218" s="6">
        <f>Opening+SUM(INDEX(BankTransactions[Net (SAR)],1):BankTransactions[[#This Row],[Net (SAR)]])</f>
        <v>2113413.7200000002</v>
      </c>
    </row>
    <row r="219" spans="1:8" x14ac:dyDescent="0.2">
      <c r="A219" s="5" t="s">
        <v>317</v>
      </c>
      <c r="B219" s="4">
        <v>46041</v>
      </c>
      <c r="C219" s="2" t="s">
        <v>318</v>
      </c>
      <c r="D219" s="12">
        <v>22901.3</v>
      </c>
      <c r="E219" s="13">
        <v>0</v>
      </c>
      <c r="F219" s="19" t="str" cm="1">
        <f t="array" ref="F219">IFERROR(LOOKUP(2^15,SEARCH(CategoryMap[Keyword],BankTransactions[[#This Row],[Description]]),CategoryMap[Category]),"Other")</f>
        <v>Customer Receipts</v>
      </c>
      <c r="G219" s="6">
        <f>BankTransactions[[#This Row],[Credit (SAR)]]-BankTransactions[[#This Row],[Debit (SAR)]]</f>
        <v>22901.3</v>
      </c>
      <c r="H219" s="6">
        <f>Opening+SUM(INDEX(BankTransactions[Net (SAR)],1):BankTransactions[[#This Row],[Net (SAR)]])</f>
        <v>2136315.0200000005</v>
      </c>
    </row>
    <row r="220" spans="1:8" x14ac:dyDescent="0.2">
      <c r="A220" s="5" t="s">
        <v>319</v>
      </c>
      <c r="B220" s="4">
        <v>46041</v>
      </c>
      <c r="C220" s="2" t="s">
        <v>12</v>
      </c>
      <c r="D220" s="12">
        <v>16518.669999999998</v>
      </c>
      <c r="E220" s="13">
        <v>0</v>
      </c>
      <c r="F220" s="19" t="str" cm="1">
        <f t="array" ref="F220">IFERROR(LOOKUP(2^15,SEARCH(CategoryMap[Keyword],BankTransactions[[#This Row],[Description]]),CategoryMap[Category]),"Other")</f>
        <v>Cash Deposits</v>
      </c>
      <c r="G220" s="6">
        <f>BankTransactions[[#This Row],[Credit (SAR)]]-BankTransactions[[#This Row],[Debit (SAR)]]</f>
        <v>16518.669999999998</v>
      </c>
      <c r="H220" s="6">
        <f>Opening+SUM(INDEX(BankTransactions[Net (SAR)],1):BankTransactions[[#This Row],[Net (SAR)]])</f>
        <v>2152833.6900000004</v>
      </c>
    </row>
    <row r="221" spans="1:8" x14ac:dyDescent="0.2">
      <c r="A221" s="5" t="s">
        <v>320</v>
      </c>
      <c r="B221" s="4">
        <v>46042</v>
      </c>
      <c r="C221" s="2" t="s">
        <v>321</v>
      </c>
      <c r="D221" s="12">
        <v>8597.02</v>
      </c>
      <c r="E221" s="13">
        <v>0</v>
      </c>
      <c r="F221" s="19" t="str" cm="1">
        <f t="array" ref="F221">IFERROR(LOOKUP(2^15,SEARCH(CategoryMap[Keyword],BankTransactions[[#This Row],[Description]]),CategoryMap[Category]),"Other")</f>
        <v>Customer Receipts</v>
      </c>
      <c r="G221" s="6">
        <f>BankTransactions[[#This Row],[Credit (SAR)]]-BankTransactions[[#This Row],[Debit (SAR)]]</f>
        <v>8597.02</v>
      </c>
      <c r="H221" s="6">
        <f>Opening+SUM(INDEX(BankTransactions[Net (SAR)],1):BankTransactions[[#This Row],[Net (SAR)]])</f>
        <v>2161430.7100000004</v>
      </c>
    </row>
    <row r="222" spans="1:8" x14ac:dyDescent="0.2">
      <c r="A222" s="5" t="s">
        <v>322</v>
      </c>
      <c r="B222" s="4">
        <v>46042</v>
      </c>
      <c r="C222" s="2" t="s">
        <v>323</v>
      </c>
      <c r="D222" s="12">
        <v>8789.5400000000009</v>
      </c>
      <c r="E222" s="13">
        <v>0</v>
      </c>
      <c r="F222" s="19" t="str" cm="1">
        <f t="array" ref="F222">IFERROR(LOOKUP(2^15,SEARCH(CategoryMap[Keyword],BankTransactions[[#This Row],[Description]]),CategoryMap[Category]),"Other")</f>
        <v>Customer Receipts</v>
      </c>
      <c r="G222" s="6">
        <f>BankTransactions[[#This Row],[Credit (SAR)]]-BankTransactions[[#This Row],[Debit (SAR)]]</f>
        <v>8789.5400000000009</v>
      </c>
      <c r="H222" s="6">
        <f>Opening+SUM(INDEX(BankTransactions[Net (SAR)],1):BankTransactions[[#This Row],[Net (SAR)]])</f>
        <v>2170220.25</v>
      </c>
    </row>
    <row r="223" spans="1:8" x14ac:dyDescent="0.2">
      <c r="A223" s="5" t="s">
        <v>324</v>
      </c>
      <c r="B223" s="4">
        <v>46042</v>
      </c>
      <c r="C223" s="2" t="s">
        <v>325</v>
      </c>
      <c r="D223" s="12">
        <v>19183.669999999998</v>
      </c>
      <c r="E223" s="13">
        <v>0</v>
      </c>
      <c r="F223" s="19" t="str" cm="1">
        <f t="array" ref="F223">IFERROR(LOOKUP(2^15,SEARCH(CategoryMap[Keyword],BankTransactions[[#This Row],[Description]]),CategoryMap[Category]),"Other")</f>
        <v>Customer Receipts</v>
      </c>
      <c r="G223" s="6">
        <f>BankTransactions[[#This Row],[Credit (SAR)]]-BankTransactions[[#This Row],[Debit (SAR)]]</f>
        <v>19183.669999999998</v>
      </c>
      <c r="H223" s="6">
        <f>Opening+SUM(INDEX(BankTransactions[Net (SAR)],1):BankTransactions[[#This Row],[Net (SAR)]])</f>
        <v>2189403.9200000004</v>
      </c>
    </row>
    <row r="224" spans="1:8" x14ac:dyDescent="0.2">
      <c r="A224" s="5" t="s">
        <v>326</v>
      </c>
      <c r="B224" s="4">
        <v>46042</v>
      </c>
      <c r="C224" s="2" t="s">
        <v>10</v>
      </c>
      <c r="D224" s="12">
        <v>0</v>
      </c>
      <c r="E224" s="13">
        <v>14634.52</v>
      </c>
      <c r="F224" s="19" t="str" cm="1">
        <f t="array" ref="F224">IFERROR(LOOKUP(2^15,SEARCH(CategoryMap[Keyword],BankTransactions[[#This Row],[Description]]),CategoryMap[Category]),"Other")</f>
        <v>Fuel &amp; Logistics</v>
      </c>
      <c r="G224" s="6">
        <f>BankTransactions[[#This Row],[Credit (SAR)]]-BankTransactions[[#This Row],[Debit (SAR)]]</f>
        <v>-14634.52</v>
      </c>
      <c r="H224" s="6">
        <f>Opening+SUM(INDEX(BankTransactions[Net (SAR)],1):BankTransactions[[#This Row],[Net (SAR)]])</f>
        <v>2174769.4000000004</v>
      </c>
    </row>
    <row r="225" spans="1:8" x14ac:dyDescent="0.2">
      <c r="A225" s="5" t="s">
        <v>327</v>
      </c>
      <c r="B225" s="4">
        <v>46042</v>
      </c>
      <c r="C225" s="2" t="s">
        <v>12</v>
      </c>
      <c r="D225" s="12">
        <v>18069.09</v>
      </c>
      <c r="E225" s="13">
        <v>0</v>
      </c>
      <c r="F225" s="19" t="str" cm="1">
        <f t="array" ref="F225">IFERROR(LOOKUP(2^15,SEARCH(CategoryMap[Keyword],BankTransactions[[#This Row],[Description]]),CategoryMap[Category]),"Other")</f>
        <v>Cash Deposits</v>
      </c>
      <c r="G225" s="6">
        <f>BankTransactions[[#This Row],[Credit (SAR)]]-BankTransactions[[#This Row],[Debit (SAR)]]</f>
        <v>18069.09</v>
      </c>
      <c r="H225" s="6">
        <f>Opening+SUM(INDEX(BankTransactions[Net (SAR)],1):BankTransactions[[#This Row],[Net (SAR)]])</f>
        <v>2192838.4900000002</v>
      </c>
    </row>
    <row r="226" spans="1:8" x14ac:dyDescent="0.2">
      <c r="A226" s="5" t="s">
        <v>328</v>
      </c>
      <c r="B226" s="4">
        <v>46045</v>
      </c>
      <c r="C226" s="2" t="s">
        <v>3</v>
      </c>
      <c r="D226" s="12">
        <v>6599.36</v>
      </c>
      <c r="E226" s="13">
        <v>4503.1899999999996</v>
      </c>
      <c r="F226" s="19" t="str" cm="1">
        <f t="array" ref="F226">IFERROR(LOOKUP(2^15,SEARCH(CategoryMap[Keyword],BankTransactions[[#This Row],[Description]]),CategoryMap[Category]),"Other")</f>
        <v>Supplier Payments</v>
      </c>
      <c r="G226" s="6">
        <f>BankTransactions[[#This Row],[Credit (SAR)]]-BankTransactions[[#This Row],[Debit (SAR)]]</f>
        <v>2096.17</v>
      </c>
      <c r="H226" s="6">
        <f>Opening+SUM(INDEX(BankTransactions[Net (SAR)],1):BankTransactions[[#This Row],[Net (SAR)]])</f>
        <v>2194934.66</v>
      </c>
    </row>
    <row r="227" spans="1:8" x14ac:dyDescent="0.2">
      <c r="A227" s="5" t="s">
        <v>329</v>
      </c>
      <c r="B227" s="4">
        <v>46046</v>
      </c>
      <c r="C227" s="2" t="s">
        <v>330</v>
      </c>
      <c r="D227" s="12">
        <v>14809.06</v>
      </c>
      <c r="E227" s="13">
        <v>0</v>
      </c>
      <c r="F227" s="19" t="str" cm="1">
        <f t="array" ref="F227">IFERROR(LOOKUP(2^15,SEARCH(CategoryMap[Keyword],BankTransactions[[#This Row],[Description]]),CategoryMap[Category]),"Other")</f>
        <v>Customer Receipts</v>
      </c>
      <c r="G227" s="6">
        <f>BankTransactions[[#This Row],[Credit (SAR)]]-BankTransactions[[#This Row],[Debit (SAR)]]</f>
        <v>14809.06</v>
      </c>
      <c r="H227" s="6">
        <f>Opening+SUM(INDEX(BankTransactions[Net (SAR)],1):BankTransactions[[#This Row],[Net (SAR)]])</f>
        <v>2209743.7200000002</v>
      </c>
    </row>
    <row r="228" spans="1:8" x14ac:dyDescent="0.2">
      <c r="A228" s="5" t="s">
        <v>331</v>
      </c>
      <c r="B228" s="4">
        <v>46046</v>
      </c>
      <c r="C228" s="2" t="s">
        <v>7</v>
      </c>
      <c r="D228" s="12">
        <v>7537.82</v>
      </c>
      <c r="E228" s="13">
        <v>9538.11</v>
      </c>
      <c r="F228" s="19" t="str" cm="1">
        <f t="array" ref="F228">IFERROR(LOOKUP(2^15,SEARCH(CategoryMap[Keyword],BankTransactions[[#This Row],[Description]]),CategoryMap[Category]),"Other")</f>
        <v>Supplier Payments</v>
      </c>
      <c r="G228" s="6">
        <f>BankTransactions[[#This Row],[Credit (SAR)]]-BankTransactions[[#This Row],[Debit (SAR)]]</f>
        <v>-2000.2900000000009</v>
      </c>
      <c r="H228" s="6">
        <f>Opening+SUM(INDEX(BankTransactions[Net (SAR)],1):BankTransactions[[#This Row],[Net (SAR)]])</f>
        <v>2207743.4300000002</v>
      </c>
    </row>
    <row r="229" spans="1:8" x14ac:dyDescent="0.2">
      <c r="A229" s="5" t="s">
        <v>332</v>
      </c>
      <c r="B229" s="4">
        <v>46047</v>
      </c>
      <c r="C229" s="2" t="s">
        <v>333</v>
      </c>
      <c r="D229" s="12">
        <v>5553.26</v>
      </c>
      <c r="E229" s="13">
        <v>0</v>
      </c>
      <c r="F229" s="19" t="str" cm="1">
        <f t="array" ref="F229">IFERROR(LOOKUP(2^15,SEARCH(CategoryMap[Keyword],BankTransactions[[#This Row],[Description]]),CategoryMap[Category]),"Other")</f>
        <v>Customer Receipts</v>
      </c>
      <c r="G229" s="6">
        <f>BankTransactions[[#This Row],[Credit (SAR)]]-BankTransactions[[#This Row],[Debit (SAR)]]</f>
        <v>5553.26</v>
      </c>
      <c r="H229" s="6">
        <f>Opening+SUM(INDEX(BankTransactions[Net (SAR)],1):BankTransactions[[#This Row],[Net (SAR)]])</f>
        <v>2213296.6900000004</v>
      </c>
    </row>
    <row r="230" spans="1:8" x14ac:dyDescent="0.2">
      <c r="A230" s="5" t="s">
        <v>334</v>
      </c>
      <c r="B230" s="4">
        <v>46047</v>
      </c>
      <c r="C230" s="2" t="s">
        <v>190</v>
      </c>
      <c r="D230" s="12">
        <v>2597.86</v>
      </c>
      <c r="E230" s="13">
        <v>0</v>
      </c>
      <c r="F230" s="19" t="str" cm="1">
        <f t="array" ref="F230">IFERROR(LOOKUP(2^15,SEARCH(CategoryMap[Keyword],BankTransactions[[#This Row],[Description]]),CategoryMap[Category]),"Other")</f>
        <v>Customer Receipts</v>
      </c>
      <c r="G230" s="6">
        <f>BankTransactions[[#This Row],[Credit (SAR)]]-BankTransactions[[#This Row],[Debit (SAR)]]</f>
        <v>2597.86</v>
      </c>
      <c r="H230" s="6">
        <f>Opening+SUM(INDEX(BankTransactions[Net (SAR)],1):BankTransactions[[#This Row],[Net (SAR)]])</f>
        <v>2215894.5500000003</v>
      </c>
    </row>
    <row r="231" spans="1:8" x14ac:dyDescent="0.2">
      <c r="A231" s="5" t="s">
        <v>335</v>
      </c>
      <c r="B231" s="4">
        <v>46047</v>
      </c>
      <c r="C231" s="2" t="s">
        <v>22</v>
      </c>
      <c r="D231" s="12">
        <v>0</v>
      </c>
      <c r="E231" s="13">
        <v>64000</v>
      </c>
      <c r="F231" s="19" t="str" cm="1">
        <f t="array" ref="F231">IFERROR(LOOKUP(2^15,SEARCH(CategoryMap[Keyword],BankTransactions[[#This Row],[Description]]),CategoryMap[Category]),"Other")</f>
        <v>Payroll</v>
      </c>
      <c r="G231" s="6">
        <f>BankTransactions[[#This Row],[Credit (SAR)]]-BankTransactions[[#This Row],[Debit (SAR)]]</f>
        <v>-64000</v>
      </c>
      <c r="H231" s="6">
        <f>Opening+SUM(INDEX(BankTransactions[Net (SAR)],1):BankTransactions[[#This Row],[Net (SAR)]])</f>
        <v>2151894.5500000003</v>
      </c>
    </row>
    <row r="232" spans="1:8" x14ac:dyDescent="0.2">
      <c r="A232" s="5" t="s">
        <v>336</v>
      </c>
      <c r="B232" s="4">
        <v>46047</v>
      </c>
      <c r="C232" s="2" t="s">
        <v>24</v>
      </c>
      <c r="D232" s="12">
        <v>0</v>
      </c>
      <c r="E232" s="13">
        <v>21000</v>
      </c>
      <c r="F232" s="19" t="str" cm="1">
        <f t="array" ref="F232">IFERROR(LOOKUP(2^15,SEARCH(CategoryMap[Keyword],BankTransactions[[#This Row],[Description]]),CategoryMap[Category]),"Other")</f>
        <v>Loan Repayments</v>
      </c>
      <c r="G232" s="6">
        <f>BankTransactions[[#This Row],[Credit (SAR)]]-BankTransactions[[#This Row],[Debit (SAR)]]</f>
        <v>-21000</v>
      </c>
      <c r="H232" s="6">
        <f>Opening+SUM(INDEX(BankTransactions[Net (SAR)],1):BankTransactions[[#This Row],[Net (SAR)]])</f>
        <v>2130894.5500000003</v>
      </c>
    </row>
    <row r="233" spans="1:8" x14ac:dyDescent="0.2">
      <c r="A233" s="5" t="s">
        <v>337</v>
      </c>
      <c r="B233" s="4">
        <v>46048</v>
      </c>
      <c r="C233" s="2" t="s">
        <v>186</v>
      </c>
      <c r="D233" s="12">
        <v>1919.3</v>
      </c>
      <c r="E233" s="13">
        <v>0</v>
      </c>
      <c r="F233" s="19" t="str" cm="1">
        <f t="array" ref="F233">IFERROR(LOOKUP(2^15,SEARCH(CategoryMap[Keyword],BankTransactions[[#This Row],[Description]]),CategoryMap[Category]),"Other")</f>
        <v>Customer Receipts</v>
      </c>
      <c r="G233" s="6">
        <f>BankTransactions[[#This Row],[Credit (SAR)]]-BankTransactions[[#This Row],[Debit (SAR)]]</f>
        <v>1919.3</v>
      </c>
      <c r="H233" s="6">
        <f>Opening+SUM(INDEX(BankTransactions[Net (SAR)],1):BankTransactions[[#This Row],[Net (SAR)]])</f>
        <v>2132813.85</v>
      </c>
    </row>
    <row r="234" spans="1:8" x14ac:dyDescent="0.2">
      <c r="A234" s="5" t="s">
        <v>338</v>
      </c>
      <c r="B234" s="4">
        <v>46048</v>
      </c>
      <c r="C234" s="2" t="s">
        <v>112</v>
      </c>
      <c r="D234" s="12">
        <v>8136.38</v>
      </c>
      <c r="E234" s="13">
        <v>0</v>
      </c>
      <c r="F234" s="19" t="str" cm="1">
        <f t="array" ref="F234">IFERROR(LOOKUP(2^15,SEARCH(CategoryMap[Keyword],BankTransactions[[#This Row],[Description]]),CategoryMap[Category]),"Other")</f>
        <v>Customer Receipts</v>
      </c>
      <c r="G234" s="6">
        <f>BankTransactions[[#This Row],[Credit (SAR)]]-BankTransactions[[#This Row],[Debit (SAR)]]</f>
        <v>8136.38</v>
      </c>
      <c r="H234" s="6">
        <f>Opening+SUM(INDEX(BankTransactions[Net (SAR)],1):BankTransactions[[#This Row],[Net (SAR)]])</f>
        <v>2140950.2300000004</v>
      </c>
    </row>
    <row r="235" spans="1:8" x14ac:dyDescent="0.2">
      <c r="A235" s="5" t="s">
        <v>339</v>
      </c>
      <c r="B235" s="4">
        <v>46049</v>
      </c>
      <c r="C235" s="2" t="s">
        <v>110</v>
      </c>
      <c r="D235" s="12">
        <v>1588.33</v>
      </c>
      <c r="E235" s="13">
        <v>0</v>
      </c>
      <c r="F235" s="19" t="str" cm="1">
        <f t="array" ref="F235">IFERROR(LOOKUP(2^15,SEARCH(CategoryMap[Keyword],BankTransactions[[#This Row],[Description]]),CategoryMap[Category]),"Other")</f>
        <v>Customer Receipts</v>
      </c>
      <c r="G235" s="6">
        <f>BankTransactions[[#This Row],[Credit (SAR)]]-BankTransactions[[#This Row],[Debit (SAR)]]</f>
        <v>1588.33</v>
      </c>
      <c r="H235" s="6">
        <f>Opening+SUM(INDEX(BankTransactions[Net (SAR)],1):BankTransactions[[#This Row],[Net (SAR)]])</f>
        <v>2142538.56</v>
      </c>
    </row>
    <row r="236" spans="1:8" x14ac:dyDescent="0.2">
      <c r="A236" s="5" t="s">
        <v>340</v>
      </c>
      <c r="B236" s="4">
        <v>46050</v>
      </c>
      <c r="C236" s="2" t="s">
        <v>341</v>
      </c>
      <c r="D236" s="12">
        <v>2254.46</v>
      </c>
      <c r="E236" s="13">
        <v>0</v>
      </c>
      <c r="F236" s="19" t="str" cm="1">
        <f t="array" ref="F236">IFERROR(LOOKUP(2^15,SEARCH(CategoryMap[Keyword],BankTransactions[[#This Row],[Description]]),CategoryMap[Category]),"Other")</f>
        <v>Customer Receipts</v>
      </c>
      <c r="G236" s="6">
        <f>BankTransactions[[#This Row],[Credit (SAR)]]-BankTransactions[[#This Row],[Debit (SAR)]]</f>
        <v>2254.46</v>
      </c>
      <c r="H236" s="6">
        <f>Opening+SUM(INDEX(BankTransactions[Net (SAR)],1):BankTransactions[[#This Row],[Net (SAR)]])</f>
        <v>2144793.0200000005</v>
      </c>
    </row>
    <row r="237" spans="1:8" x14ac:dyDescent="0.2">
      <c r="A237" s="5" t="s">
        <v>342</v>
      </c>
      <c r="B237" s="4">
        <v>46050</v>
      </c>
      <c r="C237" s="2" t="s">
        <v>188</v>
      </c>
      <c r="D237" s="12">
        <v>3541.22</v>
      </c>
      <c r="E237" s="13">
        <v>0</v>
      </c>
      <c r="F237" s="19" t="str" cm="1">
        <f t="array" ref="F237">IFERROR(LOOKUP(2^15,SEARCH(CategoryMap[Keyword],BankTransactions[[#This Row],[Description]]),CategoryMap[Category]),"Other")</f>
        <v>Customer Receipts</v>
      </c>
      <c r="G237" s="6">
        <f>BankTransactions[[#This Row],[Credit (SAR)]]-BankTransactions[[#This Row],[Debit (SAR)]]</f>
        <v>3541.22</v>
      </c>
      <c r="H237" s="6">
        <f>Opening+SUM(INDEX(BankTransactions[Net (SAR)],1):BankTransactions[[#This Row],[Net (SAR)]])</f>
        <v>2148334.2400000002</v>
      </c>
    </row>
    <row r="238" spans="1:8" x14ac:dyDescent="0.2">
      <c r="A238" s="5" t="s">
        <v>343</v>
      </c>
      <c r="B238" s="4">
        <v>46051</v>
      </c>
      <c r="C238" s="2" t="s">
        <v>344</v>
      </c>
      <c r="D238" s="12">
        <v>6394.12</v>
      </c>
      <c r="E238" s="13">
        <v>0</v>
      </c>
      <c r="F238" s="19" t="str" cm="1">
        <f t="array" ref="F238">IFERROR(LOOKUP(2^15,SEARCH(CategoryMap[Keyword],BankTransactions[[#This Row],[Description]]),CategoryMap[Category]),"Other")</f>
        <v>Customer Receipts</v>
      </c>
      <c r="G238" s="6">
        <f>BankTransactions[[#This Row],[Credit (SAR)]]-BankTransactions[[#This Row],[Debit (SAR)]]</f>
        <v>6394.12</v>
      </c>
      <c r="H238" s="6">
        <f>Opening+SUM(INDEX(BankTransactions[Net (SAR)],1):BankTransactions[[#This Row],[Net (SAR)]])</f>
        <v>2154728.3600000003</v>
      </c>
    </row>
    <row r="239" spans="1:8" x14ac:dyDescent="0.2">
      <c r="A239" s="5" t="s">
        <v>345</v>
      </c>
      <c r="B239" s="4">
        <v>46051</v>
      </c>
      <c r="C239" s="2" t="s">
        <v>346</v>
      </c>
      <c r="D239" s="12">
        <v>69856.72</v>
      </c>
      <c r="E239" s="13">
        <v>0</v>
      </c>
      <c r="F239" s="19" t="str" cm="1">
        <f t="array" ref="F239">IFERROR(LOOKUP(2^15,SEARCH(CategoryMap[Keyword],BankTransactions[[#This Row],[Description]]),CategoryMap[Category]),"Other")</f>
        <v>Customer Receipts</v>
      </c>
      <c r="G239" s="6">
        <f>BankTransactions[[#This Row],[Credit (SAR)]]-BankTransactions[[#This Row],[Debit (SAR)]]</f>
        <v>69856.72</v>
      </c>
      <c r="H239" s="6">
        <f>Opening+SUM(INDEX(BankTransactions[Net (SAR)],1):BankTransactions[[#This Row],[Net (SAR)]])</f>
        <v>2224585.08</v>
      </c>
    </row>
    <row r="240" spans="1:8" x14ac:dyDescent="0.2">
      <c r="A240" s="5" t="s">
        <v>347</v>
      </c>
      <c r="B240" s="4">
        <v>46051</v>
      </c>
      <c r="C240" s="2" t="s">
        <v>348</v>
      </c>
      <c r="D240" s="12">
        <v>9706.86</v>
      </c>
      <c r="E240" s="13">
        <v>0</v>
      </c>
      <c r="F240" s="19" t="str" cm="1">
        <f t="array" ref="F240">IFERROR(LOOKUP(2^15,SEARCH(CategoryMap[Keyword],BankTransactions[[#This Row],[Description]]),CategoryMap[Category]),"Other")</f>
        <v>Customer Receipts</v>
      </c>
      <c r="G240" s="6">
        <f>BankTransactions[[#This Row],[Credit (SAR)]]-BankTransactions[[#This Row],[Debit (SAR)]]</f>
        <v>9706.86</v>
      </c>
      <c r="H240" s="6">
        <f>Opening+SUM(INDEX(BankTransactions[Net (SAR)],1):BankTransactions[[#This Row],[Net (SAR)]])</f>
        <v>2234291.9400000004</v>
      </c>
    </row>
    <row r="241" spans="1:8" x14ac:dyDescent="0.2">
      <c r="A241" s="5" t="s">
        <v>349</v>
      </c>
      <c r="B241" s="4">
        <v>46051</v>
      </c>
      <c r="C241" s="2" t="s">
        <v>10</v>
      </c>
      <c r="D241" s="12">
        <v>0</v>
      </c>
      <c r="E241" s="13">
        <v>12961.98</v>
      </c>
      <c r="F241" s="19" t="str" cm="1">
        <f t="array" ref="F241">IFERROR(LOOKUP(2^15,SEARCH(CategoryMap[Keyword],BankTransactions[[#This Row],[Description]]),CategoryMap[Category]),"Other")</f>
        <v>Fuel &amp; Logistics</v>
      </c>
      <c r="G241" s="6">
        <f>BankTransactions[[#This Row],[Credit (SAR)]]-BankTransactions[[#This Row],[Debit (SAR)]]</f>
        <v>-12961.98</v>
      </c>
      <c r="H241" s="6">
        <f>Opening+SUM(INDEX(BankTransactions[Net (SAR)],1):BankTransactions[[#This Row],[Net (SAR)]])</f>
        <v>2221329.96</v>
      </c>
    </row>
    <row r="242" spans="1:8" x14ac:dyDescent="0.2">
      <c r="A242" s="5" t="s">
        <v>350</v>
      </c>
      <c r="B242" s="4">
        <v>46051</v>
      </c>
      <c r="C242" s="2" t="s">
        <v>7</v>
      </c>
      <c r="D242" s="12">
        <v>0</v>
      </c>
      <c r="E242" s="13">
        <v>17270.55</v>
      </c>
      <c r="F242" s="19" t="str" cm="1">
        <f t="array" ref="F242">IFERROR(LOOKUP(2^15,SEARCH(CategoryMap[Keyword],BankTransactions[[#This Row],[Description]]),CategoryMap[Category]),"Other")</f>
        <v>Supplier Payments</v>
      </c>
      <c r="G242" s="6">
        <f>BankTransactions[[#This Row],[Credit (SAR)]]-BankTransactions[[#This Row],[Debit (SAR)]]</f>
        <v>-17270.55</v>
      </c>
      <c r="H242" s="6">
        <f>Opening+SUM(INDEX(BankTransactions[Net (SAR)],1):BankTransactions[[#This Row],[Net (SAR)]])</f>
        <v>2204059.41</v>
      </c>
    </row>
    <row r="243" spans="1:8" x14ac:dyDescent="0.2">
      <c r="A243" s="5" t="s">
        <v>351</v>
      </c>
      <c r="B243" s="4">
        <v>46054</v>
      </c>
      <c r="C243" s="2" t="s">
        <v>352</v>
      </c>
      <c r="D243" s="12">
        <v>20497.89</v>
      </c>
      <c r="E243" s="13">
        <v>0</v>
      </c>
      <c r="F243" s="19" t="str" cm="1">
        <f t="array" ref="F243">IFERROR(LOOKUP(2^15,SEARCH(CategoryMap[Keyword],BankTransactions[[#This Row],[Description]]),CategoryMap[Category]),"Other")</f>
        <v>Customer Receipts</v>
      </c>
      <c r="G243" s="6">
        <f>BankTransactions[[#This Row],[Credit (SAR)]]-BankTransactions[[#This Row],[Debit (SAR)]]</f>
        <v>20497.89</v>
      </c>
      <c r="H243" s="6">
        <f>Opening+SUM(INDEX(BankTransactions[Net (SAR)],1):BankTransactions[[#This Row],[Net (SAR)]])</f>
        <v>2224557.3000000003</v>
      </c>
    </row>
    <row r="244" spans="1:8" x14ac:dyDescent="0.2">
      <c r="A244" s="5" t="s">
        <v>353</v>
      </c>
      <c r="B244" s="4">
        <v>46054</v>
      </c>
      <c r="C244" s="2" t="s">
        <v>1</v>
      </c>
      <c r="D244" s="12">
        <v>0</v>
      </c>
      <c r="E244" s="13">
        <v>38000</v>
      </c>
      <c r="F244" s="19" t="str" cm="1">
        <f t="array" ref="F244">IFERROR(LOOKUP(2^15,SEARCH(CategoryMap[Keyword],BankTransactions[[#This Row],[Description]]),CategoryMap[Category]),"Other")</f>
        <v>Rent</v>
      </c>
      <c r="G244" s="6">
        <f>BankTransactions[[#This Row],[Credit (SAR)]]-BankTransactions[[#This Row],[Debit (SAR)]]</f>
        <v>-38000</v>
      </c>
      <c r="H244" s="6">
        <f>Opening+SUM(INDEX(BankTransactions[Net (SAR)],1):BankTransactions[[#This Row],[Net (SAR)]])</f>
        <v>2186557.3000000003</v>
      </c>
    </row>
    <row r="245" spans="1:8" x14ac:dyDescent="0.2">
      <c r="A245" s="5" t="s">
        <v>354</v>
      </c>
      <c r="B245" s="4">
        <v>46055</v>
      </c>
      <c r="C245" s="2" t="s">
        <v>3</v>
      </c>
      <c r="D245" s="12">
        <v>0</v>
      </c>
      <c r="E245" s="13">
        <v>14283.41</v>
      </c>
      <c r="F245" s="19" t="str" cm="1">
        <f t="array" ref="F245">IFERROR(LOOKUP(2^15,SEARCH(CategoryMap[Keyword],BankTransactions[[#This Row],[Description]]),CategoryMap[Category]),"Other")</f>
        <v>Supplier Payments</v>
      </c>
      <c r="G245" s="6">
        <f>BankTransactions[[#This Row],[Credit (SAR)]]-BankTransactions[[#This Row],[Debit (SAR)]]</f>
        <v>-14283.41</v>
      </c>
      <c r="H245" s="6">
        <f>Opening+SUM(INDEX(BankTransactions[Net (SAR)],1):BankTransactions[[#This Row],[Net (SAR)]])</f>
        <v>2172273.89</v>
      </c>
    </row>
    <row r="246" spans="1:8" x14ac:dyDescent="0.2">
      <c r="A246" s="5" t="s">
        <v>355</v>
      </c>
      <c r="B246" s="4">
        <v>46055</v>
      </c>
      <c r="C246" s="2" t="s">
        <v>10</v>
      </c>
      <c r="D246" s="12">
        <v>0</v>
      </c>
      <c r="E246" s="13">
        <v>17513.73</v>
      </c>
      <c r="F246" s="19" t="str" cm="1">
        <f t="array" ref="F246">IFERROR(LOOKUP(2^15,SEARCH(CategoryMap[Keyword],BankTransactions[[#This Row],[Description]]),CategoryMap[Category]),"Other")</f>
        <v>Fuel &amp; Logistics</v>
      </c>
      <c r="G246" s="6">
        <f>BankTransactions[[#This Row],[Credit (SAR)]]-BankTransactions[[#This Row],[Debit (SAR)]]</f>
        <v>-17513.73</v>
      </c>
      <c r="H246" s="6">
        <f>Opening+SUM(INDEX(BankTransactions[Net (SAR)],1):BankTransactions[[#This Row],[Net (SAR)]])</f>
        <v>2154760.16</v>
      </c>
    </row>
    <row r="247" spans="1:8" x14ac:dyDescent="0.2">
      <c r="A247" s="5" t="s">
        <v>356</v>
      </c>
      <c r="B247" s="4">
        <v>46055</v>
      </c>
      <c r="C247" s="2" t="s">
        <v>7</v>
      </c>
      <c r="D247" s="12">
        <v>0</v>
      </c>
      <c r="E247" s="13">
        <v>30647.45</v>
      </c>
      <c r="F247" s="19" t="str" cm="1">
        <f t="array" ref="F247">IFERROR(LOOKUP(2^15,SEARCH(CategoryMap[Keyword],BankTransactions[[#This Row],[Description]]),CategoryMap[Category]),"Other")</f>
        <v>Supplier Payments</v>
      </c>
      <c r="G247" s="6">
        <f>BankTransactions[[#This Row],[Credit (SAR)]]-BankTransactions[[#This Row],[Debit (SAR)]]</f>
        <v>-30647.45</v>
      </c>
      <c r="H247" s="6">
        <f>Opening+SUM(INDEX(BankTransactions[Net (SAR)],1):BankTransactions[[#This Row],[Net (SAR)]])</f>
        <v>2124112.7100000004</v>
      </c>
    </row>
    <row r="248" spans="1:8" x14ac:dyDescent="0.2">
      <c r="A248" s="5" t="s">
        <v>357</v>
      </c>
      <c r="B248" s="4">
        <v>46057</v>
      </c>
      <c r="C248" s="2" t="s">
        <v>7</v>
      </c>
      <c r="D248" s="12">
        <v>0</v>
      </c>
      <c r="E248" s="13">
        <v>54014.41</v>
      </c>
      <c r="F248" s="19" t="str" cm="1">
        <f t="array" ref="F248">IFERROR(LOOKUP(2^15,SEARCH(CategoryMap[Keyword],BankTransactions[[#This Row],[Description]]),CategoryMap[Category]),"Other")</f>
        <v>Supplier Payments</v>
      </c>
      <c r="G248" s="6">
        <f>BankTransactions[[#This Row],[Credit (SAR)]]-BankTransactions[[#This Row],[Debit (SAR)]]</f>
        <v>-54014.41</v>
      </c>
      <c r="H248" s="6">
        <f>Opening+SUM(INDEX(BankTransactions[Net (SAR)],1):BankTransactions[[#This Row],[Net (SAR)]])</f>
        <v>2070098.3000000003</v>
      </c>
    </row>
    <row r="249" spans="1:8" x14ac:dyDescent="0.2">
      <c r="A249" s="5" t="s">
        <v>358</v>
      </c>
      <c r="B249" s="4">
        <v>46058</v>
      </c>
      <c r="C249" s="2" t="s">
        <v>359</v>
      </c>
      <c r="D249" s="12">
        <v>6449.65</v>
      </c>
      <c r="E249" s="13">
        <v>0</v>
      </c>
      <c r="F249" s="19" t="str" cm="1">
        <f t="array" ref="F249">IFERROR(LOOKUP(2^15,SEARCH(CategoryMap[Keyword],BankTransactions[[#This Row],[Description]]),CategoryMap[Category]),"Other")</f>
        <v>Customer Receipts</v>
      </c>
      <c r="G249" s="6">
        <f>BankTransactions[[#This Row],[Credit (SAR)]]-BankTransactions[[#This Row],[Debit (SAR)]]</f>
        <v>6449.65</v>
      </c>
      <c r="H249" s="6">
        <f>Opening+SUM(INDEX(BankTransactions[Net (SAR)],1):BankTransactions[[#This Row],[Net (SAR)]])</f>
        <v>2076547.9500000002</v>
      </c>
    </row>
    <row r="250" spans="1:8" x14ac:dyDescent="0.2">
      <c r="A250" s="5" t="s">
        <v>360</v>
      </c>
      <c r="B250" s="4">
        <v>46059</v>
      </c>
      <c r="C250" s="2" t="s">
        <v>361</v>
      </c>
      <c r="D250" s="12">
        <v>5064.2700000000004</v>
      </c>
      <c r="E250" s="13">
        <v>0</v>
      </c>
      <c r="F250" s="19" t="str" cm="1">
        <f t="array" ref="F250">IFERROR(LOOKUP(2^15,SEARCH(CategoryMap[Keyword],BankTransactions[[#This Row],[Description]]),CategoryMap[Category]),"Other")</f>
        <v>Customer Receipts</v>
      </c>
      <c r="G250" s="6">
        <f>BankTransactions[[#This Row],[Credit (SAR)]]-BankTransactions[[#This Row],[Debit (SAR)]]</f>
        <v>5064.2700000000004</v>
      </c>
      <c r="H250" s="6">
        <f>Opening+SUM(INDEX(BankTransactions[Net (SAR)],1):BankTransactions[[#This Row],[Net (SAR)]])</f>
        <v>2081612.2200000002</v>
      </c>
    </row>
    <row r="251" spans="1:8" x14ac:dyDescent="0.2">
      <c r="A251" s="5" t="s">
        <v>362</v>
      </c>
      <c r="B251" s="4">
        <v>46059</v>
      </c>
      <c r="C251" s="2" t="s">
        <v>188</v>
      </c>
      <c r="D251" s="12">
        <v>4016.17</v>
      </c>
      <c r="E251" s="13">
        <v>0</v>
      </c>
      <c r="F251" s="19" t="str" cm="1">
        <f t="array" ref="F251">IFERROR(LOOKUP(2^15,SEARCH(CategoryMap[Keyword],BankTransactions[[#This Row],[Description]]),CategoryMap[Category]),"Other")</f>
        <v>Customer Receipts</v>
      </c>
      <c r="G251" s="6">
        <f>BankTransactions[[#This Row],[Credit (SAR)]]-BankTransactions[[#This Row],[Debit (SAR)]]</f>
        <v>4016.17</v>
      </c>
      <c r="H251" s="6">
        <f>Opening+SUM(INDEX(BankTransactions[Net (SAR)],1):BankTransactions[[#This Row],[Net (SAR)]])</f>
        <v>2085628.3900000004</v>
      </c>
    </row>
    <row r="252" spans="1:8" x14ac:dyDescent="0.2">
      <c r="A252" s="5" t="s">
        <v>363</v>
      </c>
      <c r="B252" s="4">
        <v>46060</v>
      </c>
      <c r="C252" s="2" t="s">
        <v>364</v>
      </c>
      <c r="D252" s="12">
        <v>2035.05</v>
      </c>
      <c r="E252" s="13">
        <v>0</v>
      </c>
      <c r="F252" s="19" t="str" cm="1">
        <f t="array" ref="F252">IFERROR(LOOKUP(2^15,SEARCH(CategoryMap[Keyword],BankTransactions[[#This Row],[Description]]),CategoryMap[Category]),"Other")</f>
        <v>Customer Receipts</v>
      </c>
      <c r="G252" s="6">
        <f>BankTransactions[[#This Row],[Credit (SAR)]]-BankTransactions[[#This Row],[Debit (SAR)]]</f>
        <v>2035.05</v>
      </c>
      <c r="H252" s="6">
        <f>Opening+SUM(INDEX(BankTransactions[Net (SAR)],1):BankTransactions[[#This Row],[Net (SAR)]])</f>
        <v>2087663.4400000004</v>
      </c>
    </row>
    <row r="253" spans="1:8" x14ac:dyDescent="0.2">
      <c r="A253" s="5" t="s">
        <v>365</v>
      </c>
      <c r="B253" s="4">
        <v>46060</v>
      </c>
      <c r="C253" s="2" t="s">
        <v>366</v>
      </c>
      <c r="D253" s="12">
        <v>12069.09</v>
      </c>
      <c r="E253" s="13">
        <v>0</v>
      </c>
      <c r="F253" s="19" t="str" cm="1">
        <f t="array" ref="F253">IFERROR(LOOKUP(2^15,SEARCH(CategoryMap[Keyword],BankTransactions[[#This Row],[Description]]),CategoryMap[Category]),"Other")</f>
        <v>Customer Receipts</v>
      </c>
      <c r="G253" s="6">
        <f>BankTransactions[[#This Row],[Credit (SAR)]]-BankTransactions[[#This Row],[Debit (SAR)]]</f>
        <v>12069.09</v>
      </c>
      <c r="H253" s="6">
        <f>Opening+SUM(INDEX(BankTransactions[Net (SAR)],1):BankTransactions[[#This Row],[Net (SAR)]])</f>
        <v>2099732.5300000003</v>
      </c>
    </row>
    <row r="254" spans="1:8" x14ac:dyDescent="0.2">
      <c r="A254" s="5" t="s">
        <v>367</v>
      </c>
      <c r="B254" s="4">
        <v>46060</v>
      </c>
      <c r="C254" s="2" t="s">
        <v>10</v>
      </c>
      <c r="D254" s="12">
        <v>4498.29</v>
      </c>
      <c r="E254" s="13">
        <v>17596.310000000001</v>
      </c>
      <c r="F254" s="19" t="str" cm="1">
        <f t="array" ref="F254">IFERROR(LOOKUP(2^15,SEARCH(CategoryMap[Keyword],BankTransactions[[#This Row],[Description]]),CategoryMap[Category]),"Other")</f>
        <v>Fuel &amp; Logistics</v>
      </c>
      <c r="G254" s="6">
        <f>BankTransactions[[#This Row],[Credit (SAR)]]-BankTransactions[[#This Row],[Debit (SAR)]]</f>
        <v>-13098.02</v>
      </c>
      <c r="H254" s="6">
        <f>Opening+SUM(INDEX(BankTransactions[Net (SAR)],1):BankTransactions[[#This Row],[Net (SAR)]])</f>
        <v>2086634.5100000002</v>
      </c>
    </row>
    <row r="255" spans="1:8" x14ac:dyDescent="0.2">
      <c r="A255" s="5" t="s">
        <v>368</v>
      </c>
      <c r="B255" s="4">
        <v>46061</v>
      </c>
      <c r="C255" s="2" t="s">
        <v>12</v>
      </c>
      <c r="D255" s="12">
        <v>13588.8</v>
      </c>
      <c r="E255" s="13">
        <v>0</v>
      </c>
      <c r="F255" s="19" t="str" cm="1">
        <f t="array" ref="F255">IFERROR(LOOKUP(2^15,SEARCH(CategoryMap[Keyword],BankTransactions[[#This Row],[Description]]),CategoryMap[Category]),"Other")</f>
        <v>Cash Deposits</v>
      </c>
      <c r="G255" s="6">
        <f>BankTransactions[[#This Row],[Credit (SAR)]]-BankTransactions[[#This Row],[Debit (SAR)]]</f>
        <v>13588.8</v>
      </c>
      <c r="H255" s="6">
        <f>Opening+SUM(INDEX(BankTransactions[Net (SAR)],1):BankTransactions[[#This Row],[Net (SAR)]])</f>
        <v>2100223.3100000005</v>
      </c>
    </row>
    <row r="256" spans="1:8" x14ac:dyDescent="0.2">
      <c r="A256" s="5" t="s">
        <v>369</v>
      </c>
      <c r="B256" s="4">
        <v>46062</v>
      </c>
      <c r="C256" s="2" t="s">
        <v>207</v>
      </c>
      <c r="D256" s="12">
        <v>9447.33</v>
      </c>
      <c r="E256" s="13">
        <v>0</v>
      </c>
      <c r="F256" s="19" t="str" cm="1">
        <f t="array" ref="F256">IFERROR(LOOKUP(2^15,SEARCH(CategoryMap[Keyword],BankTransactions[[#This Row],[Description]]),CategoryMap[Category]),"Other")</f>
        <v>Customer Receipts</v>
      </c>
      <c r="G256" s="6">
        <f>BankTransactions[[#This Row],[Credit (SAR)]]-BankTransactions[[#This Row],[Debit (SAR)]]</f>
        <v>9447.33</v>
      </c>
      <c r="H256" s="6">
        <f>Opening+SUM(INDEX(BankTransactions[Net (SAR)],1):BankTransactions[[#This Row],[Net (SAR)]])</f>
        <v>2109670.64</v>
      </c>
    </row>
    <row r="257" spans="1:8" x14ac:dyDescent="0.2">
      <c r="A257" s="5" t="s">
        <v>370</v>
      </c>
      <c r="B257" s="4">
        <v>46063</v>
      </c>
      <c r="C257" s="2" t="s">
        <v>371</v>
      </c>
      <c r="D257" s="12">
        <v>20036.23</v>
      </c>
      <c r="E257" s="13">
        <v>0</v>
      </c>
      <c r="F257" s="19" t="str" cm="1">
        <f t="array" ref="F257">IFERROR(LOOKUP(2^15,SEARCH(CategoryMap[Keyword],BankTransactions[[#This Row],[Description]]),CategoryMap[Category]),"Other")</f>
        <v>Customer Receipts</v>
      </c>
      <c r="G257" s="6">
        <f>BankTransactions[[#This Row],[Credit (SAR)]]-BankTransactions[[#This Row],[Debit (SAR)]]</f>
        <v>20036.23</v>
      </c>
      <c r="H257" s="6">
        <f>Opening+SUM(INDEX(BankTransactions[Net (SAR)],1):BankTransactions[[#This Row],[Net (SAR)]])</f>
        <v>2129706.87</v>
      </c>
    </row>
    <row r="258" spans="1:8" x14ac:dyDescent="0.2">
      <c r="A258" s="5" t="s">
        <v>372</v>
      </c>
      <c r="B258" s="4">
        <v>46063</v>
      </c>
      <c r="C258" s="2" t="s">
        <v>373</v>
      </c>
      <c r="D258" s="12">
        <v>22280.37</v>
      </c>
      <c r="E258" s="13">
        <v>0</v>
      </c>
      <c r="F258" s="19" t="str" cm="1">
        <f t="array" ref="F258">IFERROR(LOOKUP(2^15,SEARCH(CategoryMap[Keyword],BankTransactions[[#This Row],[Description]]),CategoryMap[Category]),"Other")</f>
        <v>Customer Receipts</v>
      </c>
      <c r="G258" s="6">
        <f>BankTransactions[[#This Row],[Credit (SAR)]]-BankTransactions[[#This Row],[Debit (SAR)]]</f>
        <v>22280.37</v>
      </c>
      <c r="H258" s="6">
        <f>Opening+SUM(INDEX(BankTransactions[Net (SAR)],1):BankTransactions[[#This Row],[Net (SAR)]])</f>
        <v>2151987.2400000002</v>
      </c>
    </row>
    <row r="259" spans="1:8" x14ac:dyDescent="0.2">
      <c r="A259" s="5" t="s">
        <v>374</v>
      </c>
      <c r="B259" s="4">
        <v>46064</v>
      </c>
      <c r="C259" s="2" t="s">
        <v>375</v>
      </c>
      <c r="D259" s="12">
        <v>2547.84</v>
      </c>
      <c r="E259" s="13">
        <v>0</v>
      </c>
      <c r="F259" s="19" t="str" cm="1">
        <f t="array" ref="F259">IFERROR(LOOKUP(2^15,SEARCH(CategoryMap[Keyword],BankTransactions[[#This Row],[Description]]),CategoryMap[Category]),"Other")</f>
        <v>Customer Receipts</v>
      </c>
      <c r="G259" s="6">
        <f>BankTransactions[[#This Row],[Credit (SAR)]]-BankTransactions[[#This Row],[Debit (SAR)]]</f>
        <v>2547.84</v>
      </c>
      <c r="H259" s="6">
        <f>Opening+SUM(INDEX(BankTransactions[Net (SAR)],1):BankTransactions[[#This Row],[Net (SAR)]])</f>
        <v>2154535.08</v>
      </c>
    </row>
    <row r="260" spans="1:8" x14ac:dyDescent="0.2">
      <c r="A260" s="5" t="s">
        <v>376</v>
      </c>
      <c r="B260" s="4">
        <v>46064</v>
      </c>
      <c r="C260" s="2" t="s">
        <v>7</v>
      </c>
      <c r="D260" s="12">
        <v>0</v>
      </c>
      <c r="E260" s="13">
        <v>9936.98</v>
      </c>
      <c r="F260" s="19" t="str" cm="1">
        <f t="array" ref="F260">IFERROR(LOOKUP(2^15,SEARCH(CategoryMap[Keyword],BankTransactions[[#This Row],[Description]]),CategoryMap[Category]),"Other")</f>
        <v>Supplier Payments</v>
      </c>
      <c r="G260" s="6">
        <f>BankTransactions[[#This Row],[Credit (SAR)]]-BankTransactions[[#This Row],[Debit (SAR)]]</f>
        <v>-9936.98</v>
      </c>
      <c r="H260" s="6">
        <f>Opening+SUM(INDEX(BankTransactions[Net (SAR)],1):BankTransactions[[#This Row],[Net (SAR)]])</f>
        <v>2144598.1000000006</v>
      </c>
    </row>
    <row r="261" spans="1:8" x14ac:dyDescent="0.2">
      <c r="A261" s="5" t="s">
        <v>377</v>
      </c>
      <c r="B261" s="4">
        <v>46065</v>
      </c>
      <c r="C261" s="2" t="s">
        <v>378</v>
      </c>
      <c r="D261" s="12">
        <v>4490.8100000000004</v>
      </c>
      <c r="E261" s="13">
        <v>0</v>
      </c>
      <c r="F261" s="19" t="str" cm="1">
        <f t="array" ref="F261">IFERROR(LOOKUP(2^15,SEARCH(CategoryMap[Keyword],BankTransactions[[#This Row],[Description]]),CategoryMap[Category]),"Other")</f>
        <v>Customer Receipts</v>
      </c>
      <c r="G261" s="6">
        <f>BankTransactions[[#This Row],[Credit (SAR)]]-BankTransactions[[#This Row],[Debit (SAR)]]</f>
        <v>4490.8100000000004</v>
      </c>
      <c r="H261" s="6">
        <f>Opening+SUM(INDEX(BankTransactions[Net (SAR)],1):BankTransactions[[#This Row],[Net (SAR)]])</f>
        <v>2149088.91</v>
      </c>
    </row>
    <row r="262" spans="1:8" x14ac:dyDescent="0.2">
      <c r="A262" s="5" t="s">
        <v>379</v>
      </c>
      <c r="B262" s="4">
        <v>46065</v>
      </c>
      <c r="C262" s="2" t="s">
        <v>3</v>
      </c>
      <c r="D262" s="12">
        <v>0</v>
      </c>
      <c r="E262" s="13">
        <v>11148.51</v>
      </c>
      <c r="F262" s="19" t="str" cm="1">
        <f t="array" ref="F262">IFERROR(LOOKUP(2^15,SEARCH(CategoryMap[Keyword],BankTransactions[[#This Row],[Description]]),CategoryMap[Category]),"Other")</f>
        <v>Supplier Payments</v>
      </c>
      <c r="G262" s="6">
        <f>BankTransactions[[#This Row],[Credit (SAR)]]-BankTransactions[[#This Row],[Debit (SAR)]]</f>
        <v>-11148.51</v>
      </c>
      <c r="H262" s="6">
        <f>Opening+SUM(INDEX(BankTransactions[Net (SAR)],1):BankTransactions[[#This Row],[Net (SAR)]])</f>
        <v>2137940.4000000004</v>
      </c>
    </row>
    <row r="263" spans="1:8" x14ac:dyDescent="0.2">
      <c r="A263" s="5" t="s">
        <v>380</v>
      </c>
      <c r="B263" s="4">
        <v>46065</v>
      </c>
      <c r="C263" s="2" t="s">
        <v>10</v>
      </c>
      <c r="D263" s="12">
        <v>0</v>
      </c>
      <c r="E263" s="13">
        <v>18779.79</v>
      </c>
      <c r="F263" s="19" t="str" cm="1">
        <f t="array" ref="F263">IFERROR(LOOKUP(2^15,SEARCH(CategoryMap[Keyword],BankTransactions[[#This Row],[Description]]),CategoryMap[Category]),"Other")</f>
        <v>Fuel &amp; Logistics</v>
      </c>
      <c r="G263" s="6">
        <f>BankTransactions[[#This Row],[Credit (SAR)]]-BankTransactions[[#This Row],[Debit (SAR)]]</f>
        <v>-18779.79</v>
      </c>
      <c r="H263" s="6">
        <f>Opening+SUM(INDEX(BankTransactions[Net (SAR)],1):BankTransactions[[#This Row],[Net (SAR)]])</f>
        <v>2119160.6100000003</v>
      </c>
    </row>
    <row r="264" spans="1:8" x14ac:dyDescent="0.2">
      <c r="A264" s="5" t="s">
        <v>381</v>
      </c>
      <c r="B264" s="4">
        <v>46066</v>
      </c>
      <c r="C264" s="2" t="s">
        <v>382</v>
      </c>
      <c r="D264" s="12">
        <v>2837.96</v>
      </c>
      <c r="E264" s="13">
        <v>0</v>
      </c>
      <c r="F264" s="19" t="str" cm="1">
        <f t="array" ref="F264">IFERROR(LOOKUP(2^15,SEARCH(CategoryMap[Keyword],BankTransactions[[#This Row],[Description]]),CategoryMap[Category]),"Other")</f>
        <v>Customer Receipts</v>
      </c>
      <c r="G264" s="6">
        <f>BankTransactions[[#This Row],[Credit (SAR)]]-BankTransactions[[#This Row],[Debit (SAR)]]</f>
        <v>2837.96</v>
      </c>
      <c r="H264" s="6">
        <f>Opening+SUM(INDEX(BankTransactions[Net (SAR)],1):BankTransactions[[#This Row],[Net (SAR)]])</f>
        <v>2121998.5700000003</v>
      </c>
    </row>
    <row r="265" spans="1:8" x14ac:dyDescent="0.2">
      <c r="A265" s="5" t="s">
        <v>383</v>
      </c>
      <c r="B265" s="4">
        <v>46066</v>
      </c>
      <c r="C265" s="2" t="s">
        <v>384</v>
      </c>
      <c r="D265" s="12">
        <v>5607.03</v>
      </c>
      <c r="E265" s="13">
        <v>0</v>
      </c>
      <c r="F265" s="19" t="str" cm="1">
        <f t="array" ref="F265">IFERROR(LOOKUP(2^15,SEARCH(CategoryMap[Keyword],BankTransactions[[#This Row],[Description]]),CategoryMap[Category]),"Other")</f>
        <v>Customer Receipts</v>
      </c>
      <c r="G265" s="6">
        <f>BankTransactions[[#This Row],[Credit (SAR)]]-BankTransactions[[#This Row],[Debit (SAR)]]</f>
        <v>5607.03</v>
      </c>
      <c r="H265" s="6">
        <f>Opening+SUM(INDEX(BankTransactions[Net (SAR)],1):BankTransactions[[#This Row],[Net (SAR)]])</f>
        <v>2127605.6000000006</v>
      </c>
    </row>
    <row r="266" spans="1:8" x14ac:dyDescent="0.2">
      <c r="A266" s="5" t="s">
        <v>385</v>
      </c>
      <c r="B266" s="4">
        <v>46067</v>
      </c>
      <c r="C266" s="2" t="s">
        <v>386</v>
      </c>
      <c r="D266" s="12">
        <v>2679.75</v>
      </c>
      <c r="E266" s="13">
        <v>0</v>
      </c>
      <c r="F266" s="19" t="str" cm="1">
        <f t="array" ref="F266">IFERROR(LOOKUP(2^15,SEARCH(CategoryMap[Keyword],BankTransactions[[#This Row],[Description]]),CategoryMap[Category]),"Other")</f>
        <v>Customer Receipts</v>
      </c>
      <c r="G266" s="6">
        <f>BankTransactions[[#This Row],[Credit (SAR)]]-BankTransactions[[#This Row],[Debit (SAR)]]</f>
        <v>2679.75</v>
      </c>
      <c r="H266" s="6">
        <f>Opening+SUM(INDEX(BankTransactions[Net (SAR)],1):BankTransactions[[#This Row],[Net (SAR)]])</f>
        <v>2130285.3500000006</v>
      </c>
    </row>
    <row r="267" spans="1:8" x14ac:dyDescent="0.2">
      <c r="A267" s="5" t="s">
        <v>387</v>
      </c>
      <c r="B267" s="4">
        <v>46067</v>
      </c>
      <c r="C267" s="2" t="s">
        <v>261</v>
      </c>
      <c r="D267" s="12">
        <v>8754.58</v>
      </c>
      <c r="E267" s="13">
        <v>0</v>
      </c>
      <c r="F267" s="19" t="str" cm="1">
        <f t="array" ref="F267">IFERROR(LOOKUP(2^15,SEARCH(CategoryMap[Keyword],BankTransactions[[#This Row],[Description]]),CategoryMap[Category]),"Other")</f>
        <v>Customer Receipts</v>
      </c>
      <c r="G267" s="6">
        <f>BankTransactions[[#This Row],[Credit (SAR)]]-BankTransactions[[#This Row],[Debit (SAR)]]</f>
        <v>8754.58</v>
      </c>
      <c r="H267" s="6">
        <f>Opening+SUM(INDEX(BankTransactions[Net (SAR)],1):BankTransactions[[#This Row],[Net (SAR)]])</f>
        <v>2139039.9300000006</v>
      </c>
    </row>
    <row r="268" spans="1:8" x14ac:dyDescent="0.2">
      <c r="A268" s="5" t="s">
        <v>388</v>
      </c>
      <c r="B268" s="4">
        <v>46067</v>
      </c>
      <c r="C268" s="2" t="s">
        <v>389</v>
      </c>
      <c r="D268" s="12">
        <v>32622.9</v>
      </c>
      <c r="E268" s="13">
        <v>0</v>
      </c>
      <c r="F268" s="19" t="str" cm="1">
        <f t="array" ref="F268">IFERROR(LOOKUP(2^15,SEARCH(CategoryMap[Keyword],BankTransactions[[#This Row],[Description]]),CategoryMap[Category]),"Other")</f>
        <v>Customer Receipts</v>
      </c>
      <c r="G268" s="6">
        <f>BankTransactions[[#This Row],[Credit (SAR)]]-BankTransactions[[#This Row],[Debit (SAR)]]</f>
        <v>32622.9</v>
      </c>
      <c r="H268" s="6">
        <f>Opening+SUM(INDEX(BankTransactions[Net (SAR)],1):BankTransactions[[#This Row],[Net (SAR)]])</f>
        <v>2171662.8300000005</v>
      </c>
    </row>
    <row r="269" spans="1:8" x14ac:dyDescent="0.2">
      <c r="A269" s="5" t="s">
        <v>390</v>
      </c>
      <c r="B269" s="4">
        <v>46067</v>
      </c>
      <c r="C269" s="2" t="s">
        <v>391</v>
      </c>
      <c r="D269" s="12">
        <v>12334.08</v>
      </c>
      <c r="E269" s="13">
        <v>0</v>
      </c>
      <c r="F269" s="19" t="str" cm="1">
        <f t="array" ref="F269">IFERROR(LOOKUP(2^15,SEARCH(CategoryMap[Keyword],BankTransactions[[#This Row],[Description]]),CategoryMap[Category]),"Other")</f>
        <v>Customer Receipts</v>
      </c>
      <c r="G269" s="6">
        <f>BankTransactions[[#This Row],[Credit (SAR)]]-BankTransactions[[#This Row],[Debit (SAR)]]</f>
        <v>12334.08</v>
      </c>
      <c r="H269" s="6">
        <f>Opening+SUM(INDEX(BankTransactions[Net (SAR)],1):BankTransactions[[#This Row],[Net (SAR)]])</f>
        <v>2183996.9100000006</v>
      </c>
    </row>
    <row r="270" spans="1:8" x14ac:dyDescent="0.2">
      <c r="A270" s="5" t="s">
        <v>392</v>
      </c>
      <c r="B270" s="4">
        <v>46067</v>
      </c>
      <c r="C270" s="2" t="s">
        <v>393</v>
      </c>
      <c r="D270" s="12">
        <v>4659.47</v>
      </c>
      <c r="E270" s="13">
        <v>0</v>
      </c>
      <c r="F270" s="19" t="str" cm="1">
        <f t="array" ref="F270">IFERROR(LOOKUP(2^15,SEARCH(CategoryMap[Keyword],BankTransactions[[#This Row],[Description]]),CategoryMap[Category]),"Other")</f>
        <v>Customer Receipts</v>
      </c>
      <c r="G270" s="6">
        <f>BankTransactions[[#This Row],[Credit (SAR)]]-BankTransactions[[#This Row],[Debit (SAR)]]</f>
        <v>4659.47</v>
      </c>
      <c r="H270" s="6">
        <f>Opening+SUM(INDEX(BankTransactions[Net (SAR)],1):BankTransactions[[#This Row],[Net (SAR)]])</f>
        <v>2188656.3800000004</v>
      </c>
    </row>
    <row r="271" spans="1:8" x14ac:dyDescent="0.2">
      <c r="A271" s="5" t="s">
        <v>394</v>
      </c>
      <c r="B271" s="4">
        <v>46067</v>
      </c>
      <c r="C271" s="2" t="s">
        <v>310</v>
      </c>
      <c r="D271" s="12">
        <v>10913.65</v>
      </c>
      <c r="E271" s="13">
        <v>0</v>
      </c>
      <c r="F271" s="19" t="str" cm="1">
        <f t="array" ref="F271">IFERROR(LOOKUP(2^15,SEARCH(CategoryMap[Keyword],BankTransactions[[#This Row],[Description]]),CategoryMap[Category]),"Other")</f>
        <v>Customer Receipts</v>
      </c>
      <c r="G271" s="6">
        <f>BankTransactions[[#This Row],[Credit (SAR)]]-BankTransactions[[#This Row],[Debit (SAR)]]</f>
        <v>10913.65</v>
      </c>
      <c r="H271" s="6">
        <f>Opening+SUM(INDEX(BankTransactions[Net (SAR)],1):BankTransactions[[#This Row],[Net (SAR)]])</f>
        <v>2199570.0300000003</v>
      </c>
    </row>
    <row r="272" spans="1:8" x14ac:dyDescent="0.2">
      <c r="A272" s="5" t="s">
        <v>395</v>
      </c>
      <c r="B272" s="4">
        <v>46067</v>
      </c>
      <c r="C272" s="2" t="s">
        <v>3</v>
      </c>
      <c r="D272" s="12">
        <v>0</v>
      </c>
      <c r="E272" s="13">
        <v>25795.31</v>
      </c>
      <c r="F272" s="19" t="str" cm="1">
        <f t="array" ref="F272">IFERROR(LOOKUP(2^15,SEARCH(CategoryMap[Keyword],BankTransactions[[#This Row],[Description]]),CategoryMap[Category]),"Other")</f>
        <v>Supplier Payments</v>
      </c>
      <c r="G272" s="6">
        <f>BankTransactions[[#This Row],[Credit (SAR)]]-BankTransactions[[#This Row],[Debit (SAR)]]</f>
        <v>-25795.31</v>
      </c>
      <c r="H272" s="6">
        <f>Opening+SUM(INDEX(BankTransactions[Net (SAR)],1):BankTransactions[[#This Row],[Net (SAR)]])</f>
        <v>2173774.7200000007</v>
      </c>
    </row>
    <row r="273" spans="1:8" x14ac:dyDescent="0.2">
      <c r="A273" s="5" t="s">
        <v>396</v>
      </c>
      <c r="B273" s="4">
        <v>46068</v>
      </c>
      <c r="C273" s="2" t="s">
        <v>397</v>
      </c>
      <c r="D273" s="12">
        <v>9620.68</v>
      </c>
      <c r="E273" s="13">
        <v>0</v>
      </c>
      <c r="F273" s="19" t="str" cm="1">
        <f t="array" ref="F273">IFERROR(LOOKUP(2^15,SEARCH(CategoryMap[Keyword],BankTransactions[[#This Row],[Description]]),CategoryMap[Category]),"Other")</f>
        <v>Customer Receipts</v>
      </c>
      <c r="G273" s="6">
        <f>BankTransactions[[#This Row],[Credit (SAR)]]-BankTransactions[[#This Row],[Debit (SAR)]]</f>
        <v>9620.68</v>
      </c>
      <c r="H273" s="6">
        <f>Opening+SUM(INDEX(BankTransactions[Net (SAR)],1):BankTransactions[[#This Row],[Net (SAR)]])</f>
        <v>2183395.4000000004</v>
      </c>
    </row>
    <row r="274" spans="1:8" x14ac:dyDescent="0.2">
      <c r="A274" s="5" t="s">
        <v>398</v>
      </c>
      <c r="B274" s="4">
        <v>46068</v>
      </c>
      <c r="C274" s="2" t="s">
        <v>399</v>
      </c>
      <c r="D274" s="12">
        <v>16140.18</v>
      </c>
      <c r="E274" s="13">
        <v>0</v>
      </c>
      <c r="F274" s="19" t="str" cm="1">
        <f t="array" ref="F274">IFERROR(LOOKUP(2^15,SEARCH(CategoryMap[Keyword],BankTransactions[[#This Row],[Description]]),CategoryMap[Category]),"Other")</f>
        <v>Customer Receipts</v>
      </c>
      <c r="G274" s="6">
        <f>BankTransactions[[#This Row],[Credit (SAR)]]-BankTransactions[[#This Row],[Debit (SAR)]]</f>
        <v>16140.18</v>
      </c>
      <c r="H274" s="6">
        <f>Opening+SUM(INDEX(BankTransactions[Net (SAR)],1):BankTransactions[[#This Row],[Net (SAR)]])</f>
        <v>2199535.5800000005</v>
      </c>
    </row>
    <row r="275" spans="1:8" x14ac:dyDescent="0.2">
      <c r="A275" s="5" t="s">
        <v>400</v>
      </c>
      <c r="B275" s="4">
        <v>46068</v>
      </c>
      <c r="C275" s="2" t="s">
        <v>401</v>
      </c>
      <c r="D275" s="12">
        <v>3029.15</v>
      </c>
      <c r="E275" s="13">
        <v>0</v>
      </c>
      <c r="F275" s="19" t="str" cm="1">
        <f t="array" ref="F275">IFERROR(LOOKUP(2^15,SEARCH(CategoryMap[Keyword],BankTransactions[[#This Row],[Description]]),CategoryMap[Category]),"Other")</f>
        <v>Customer Receipts</v>
      </c>
      <c r="G275" s="6">
        <f>BankTransactions[[#This Row],[Credit (SAR)]]-BankTransactions[[#This Row],[Debit (SAR)]]</f>
        <v>3029.15</v>
      </c>
      <c r="H275" s="6">
        <f>Opening+SUM(INDEX(BankTransactions[Net (SAR)],1):BankTransactions[[#This Row],[Net (SAR)]])</f>
        <v>2202564.7300000004</v>
      </c>
    </row>
    <row r="276" spans="1:8" x14ac:dyDescent="0.2">
      <c r="A276" s="5" t="s">
        <v>402</v>
      </c>
      <c r="B276" s="4">
        <v>46070</v>
      </c>
      <c r="C276" s="2" t="s">
        <v>403</v>
      </c>
      <c r="D276" s="12">
        <v>15029.24</v>
      </c>
      <c r="E276" s="13">
        <v>0</v>
      </c>
      <c r="F276" s="19" t="str" cm="1">
        <f t="array" ref="F276">IFERROR(LOOKUP(2^15,SEARCH(CategoryMap[Keyword],BankTransactions[[#This Row],[Description]]),CategoryMap[Category]),"Other")</f>
        <v>Customer Receipts</v>
      </c>
      <c r="G276" s="6">
        <f>BankTransactions[[#This Row],[Credit (SAR)]]-BankTransactions[[#This Row],[Debit (SAR)]]</f>
        <v>15029.24</v>
      </c>
      <c r="H276" s="6">
        <f>Opening+SUM(INDEX(BankTransactions[Net (SAR)],1):BankTransactions[[#This Row],[Net (SAR)]])</f>
        <v>2217593.9700000007</v>
      </c>
    </row>
    <row r="277" spans="1:8" x14ac:dyDescent="0.2">
      <c r="A277" s="5" t="s">
        <v>404</v>
      </c>
      <c r="B277" s="4">
        <v>46073</v>
      </c>
      <c r="C277" s="2" t="s">
        <v>3</v>
      </c>
      <c r="D277" s="12">
        <v>0</v>
      </c>
      <c r="E277" s="13">
        <v>53011.43</v>
      </c>
      <c r="F277" s="19" t="str" cm="1">
        <f t="array" ref="F277">IFERROR(LOOKUP(2^15,SEARCH(CategoryMap[Keyword],BankTransactions[[#This Row],[Description]]),CategoryMap[Category]),"Other")</f>
        <v>Supplier Payments</v>
      </c>
      <c r="G277" s="6">
        <f>BankTransactions[[#This Row],[Credit (SAR)]]-BankTransactions[[#This Row],[Debit (SAR)]]</f>
        <v>-53011.43</v>
      </c>
      <c r="H277" s="6">
        <f>Opening+SUM(INDEX(BankTransactions[Net (SAR)],1):BankTransactions[[#This Row],[Net (SAR)]])</f>
        <v>2164582.5400000005</v>
      </c>
    </row>
    <row r="278" spans="1:8" x14ac:dyDescent="0.2">
      <c r="A278" s="5" t="s">
        <v>405</v>
      </c>
      <c r="B278" s="4">
        <v>46074</v>
      </c>
      <c r="C278" s="2" t="s">
        <v>391</v>
      </c>
      <c r="D278" s="12">
        <v>12232.57</v>
      </c>
      <c r="E278" s="13">
        <v>0</v>
      </c>
      <c r="F278" s="19" t="str" cm="1">
        <f t="array" ref="F278">IFERROR(LOOKUP(2^15,SEARCH(CategoryMap[Keyword],BankTransactions[[#This Row],[Description]]),CategoryMap[Category]),"Other")</f>
        <v>Customer Receipts</v>
      </c>
      <c r="G278" s="6">
        <f>BankTransactions[[#This Row],[Credit (SAR)]]-BankTransactions[[#This Row],[Debit (SAR)]]</f>
        <v>12232.57</v>
      </c>
      <c r="H278" s="6">
        <f>Opening+SUM(INDEX(BankTransactions[Net (SAR)],1):BankTransactions[[#This Row],[Net (SAR)]])</f>
        <v>2176815.1100000003</v>
      </c>
    </row>
    <row r="279" spans="1:8" x14ac:dyDescent="0.2">
      <c r="A279" s="5" t="s">
        <v>406</v>
      </c>
      <c r="B279" s="4">
        <v>46074</v>
      </c>
      <c r="C279" s="2" t="s">
        <v>190</v>
      </c>
      <c r="D279" s="12">
        <v>9899.2999999999993</v>
      </c>
      <c r="E279" s="13">
        <v>0</v>
      </c>
      <c r="F279" s="19" t="str" cm="1">
        <f t="array" ref="F279">IFERROR(LOOKUP(2^15,SEARCH(CategoryMap[Keyword],BankTransactions[[#This Row],[Description]]),CategoryMap[Category]),"Other")</f>
        <v>Customer Receipts</v>
      </c>
      <c r="G279" s="6">
        <f>BankTransactions[[#This Row],[Credit (SAR)]]-BankTransactions[[#This Row],[Debit (SAR)]]</f>
        <v>9899.2999999999993</v>
      </c>
      <c r="H279" s="6">
        <f>Opening+SUM(INDEX(BankTransactions[Net (SAR)],1):BankTransactions[[#This Row],[Net (SAR)]])</f>
        <v>2186714.4100000006</v>
      </c>
    </row>
    <row r="280" spans="1:8" x14ac:dyDescent="0.2">
      <c r="A280" s="5" t="s">
        <v>407</v>
      </c>
      <c r="B280" s="4">
        <v>46074</v>
      </c>
      <c r="C280" s="2" t="s">
        <v>10</v>
      </c>
      <c r="D280" s="12">
        <v>0</v>
      </c>
      <c r="E280" s="13">
        <v>17394.669999999998</v>
      </c>
      <c r="F280" s="19" t="str" cm="1">
        <f t="array" ref="F280">IFERROR(LOOKUP(2^15,SEARCH(CategoryMap[Keyword],BankTransactions[[#This Row],[Description]]),CategoryMap[Category]),"Other")</f>
        <v>Fuel &amp; Logistics</v>
      </c>
      <c r="G280" s="6">
        <f>BankTransactions[[#This Row],[Credit (SAR)]]-BankTransactions[[#This Row],[Debit (SAR)]]</f>
        <v>-17394.669999999998</v>
      </c>
      <c r="H280" s="6">
        <f>Opening+SUM(INDEX(BankTransactions[Net (SAR)],1):BankTransactions[[#This Row],[Net (SAR)]])</f>
        <v>2169319.7400000002</v>
      </c>
    </row>
    <row r="281" spans="1:8" x14ac:dyDescent="0.2">
      <c r="A281" s="5" t="s">
        <v>408</v>
      </c>
      <c r="B281" s="4">
        <v>46074</v>
      </c>
      <c r="C281" s="2" t="s">
        <v>10</v>
      </c>
      <c r="D281" s="12">
        <v>0</v>
      </c>
      <c r="E281" s="13">
        <v>60443.78</v>
      </c>
      <c r="F281" s="19" t="str" cm="1">
        <f t="array" ref="F281">IFERROR(LOOKUP(2^15,SEARCH(CategoryMap[Keyword],BankTransactions[[#This Row],[Description]]),CategoryMap[Category]),"Other")</f>
        <v>Fuel &amp; Logistics</v>
      </c>
      <c r="G281" s="6">
        <f>BankTransactions[[#This Row],[Credit (SAR)]]-BankTransactions[[#This Row],[Debit (SAR)]]</f>
        <v>-60443.78</v>
      </c>
      <c r="H281" s="6">
        <f>Opening+SUM(INDEX(BankTransactions[Net (SAR)],1):BankTransactions[[#This Row],[Net (SAR)]])</f>
        <v>2108875.9600000004</v>
      </c>
    </row>
    <row r="282" spans="1:8" x14ac:dyDescent="0.2">
      <c r="A282" s="5" t="s">
        <v>409</v>
      </c>
      <c r="B282" s="4">
        <v>46075</v>
      </c>
      <c r="C282" s="2" t="s">
        <v>410</v>
      </c>
      <c r="D282" s="12">
        <v>13249.12</v>
      </c>
      <c r="E282" s="13">
        <v>0</v>
      </c>
      <c r="F282" s="19" t="str" cm="1">
        <f t="array" ref="F282">IFERROR(LOOKUP(2^15,SEARCH(CategoryMap[Keyword],BankTransactions[[#This Row],[Description]]),CategoryMap[Category]),"Other")</f>
        <v>Customer Receipts</v>
      </c>
      <c r="G282" s="6">
        <f>BankTransactions[[#This Row],[Credit (SAR)]]-BankTransactions[[#This Row],[Debit (SAR)]]</f>
        <v>13249.12</v>
      </c>
      <c r="H282" s="6">
        <f>Opening+SUM(INDEX(BankTransactions[Net (SAR)],1):BankTransactions[[#This Row],[Net (SAR)]])</f>
        <v>2122125.0800000005</v>
      </c>
    </row>
    <row r="283" spans="1:8" x14ac:dyDescent="0.2">
      <c r="A283" s="5" t="s">
        <v>411</v>
      </c>
      <c r="B283" s="4">
        <v>46075</v>
      </c>
      <c r="C283" s="2" t="s">
        <v>207</v>
      </c>
      <c r="D283" s="12">
        <v>22018.3</v>
      </c>
      <c r="E283" s="13">
        <v>0</v>
      </c>
      <c r="F283" s="19" t="str" cm="1">
        <f t="array" ref="F283">IFERROR(LOOKUP(2^15,SEARCH(CategoryMap[Keyword],BankTransactions[[#This Row],[Description]]),CategoryMap[Category]),"Other")</f>
        <v>Customer Receipts</v>
      </c>
      <c r="G283" s="6">
        <f>BankTransactions[[#This Row],[Credit (SAR)]]-BankTransactions[[#This Row],[Debit (SAR)]]</f>
        <v>22018.3</v>
      </c>
      <c r="H283" s="6">
        <f>Opening+SUM(INDEX(BankTransactions[Net (SAR)],1):BankTransactions[[#This Row],[Net (SAR)]])</f>
        <v>2144143.3800000004</v>
      </c>
    </row>
    <row r="284" spans="1:8" x14ac:dyDescent="0.2">
      <c r="A284" s="5" t="s">
        <v>412</v>
      </c>
      <c r="B284" s="4">
        <v>46075</v>
      </c>
      <c r="C284" s="2" t="s">
        <v>3</v>
      </c>
      <c r="D284" s="12">
        <v>0</v>
      </c>
      <c r="E284" s="13">
        <v>11007.27</v>
      </c>
      <c r="F284" s="19" t="str" cm="1">
        <f t="array" ref="F284">IFERROR(LOOKUP(2^15,SEARCH(CategoryMap[Keyword],BankTransactions[[#This Row],[Description]]),CategoryMap[Category]),"Other")</f>
        <v>Supplier Payments</v>
      </c>
      <c r="G284" s="6">
        <f>BankTransactions[[#This Row],[Credit (SAR)]]-BankTransactions[[#This Row],[Debit (SAR)]]</f>
        <v>-11007.27</v>
      </c>
      <c r="H284" s="6">
        <f>Opening+SUM(INDEX(BankTransactions[Net (SAR)],1):BankTransactions[[#This Row],[Net (SAR)]])</f>
        <v>2133136.1100000003</v>
      </c>
    </row>
    <row r="285" spans="1:8" x14ac:dyDescent="0.2">
      <c r="A285" s="5" t="s">
        <v>413</v>
      </c>
      <c r="B285" s="4">
        <v>46076</v>
      </c>
      <c r="C285" s="2" t="s">
        <v>414</v>
      </c>
      <c r="D285" s="12">
        <v>7270.1</v>
      </c>
      <c r="E285" s="13">
        <v>0</v>
      </c>
      <c r="F285" s="19" t="str" cm="1">
        <f t="array" ref="F285">IFERROR(LOOKUP(2^15,SEARCH(CategoryMap[Keyword],BankTransactions[[#This Row],[Description]]),CategoryMap[Category]),"Other")</f>
        <v>Customer Receipts</v>
      </c>
      <c r="G285" s="6">
        <f>BankTransactions[[#This Row],[Credit (SAR)]]-BankTransactions[[#This Row],[Debit (SAR)]]</f>
        <v>7270.1</v>
      </c>
      <c r="H285" s="6">
        <f>Opening+SUM(INDEX(BankTransactions[Net (SAR)],1):BankTransactions[[#This Row],[Net (SAR)]])</f>
        <v>2140406.2100000004</v>
      </c>
    </row>
    <row r="286" spans="1:8" x14ac:dyDescent="0.2">
      <c r="A286" s="5" t="s">
        <v>415</v>
      </c>
      <c r="B286" s="4">
        <v>46077</v>
      </c>
      <c r="C286" s="2" t="s">
        <v>416</v>
      </c>
      <c r="D286" s="12">
        <v>4168.21</v>
      </c>
      <c r="E286" s="13">
        <v>0</v>
      </c>
      <c r="F286" s="19" t="str" cm="1">
        <f t="array" ref="F286">IFERROR(LOOKUP(2^15,SEARCH(CategoryMap[Keyword],BankTransactions[[#This Row],[Description]]),CategoryMap[Category]),"Other")</f>
        <v>Customer Receipts</v>
      </c>
      <c r="G286" s="6">
        <f>BankTransactions[[#This Row],[Credit (SAR)]]-BankTransactions[[#This Row],[Debit (SAR)]]</f>
        <v>4168.21</v>
      </c>
      <c r="H286" s="6">
        <f>Opening+SUM(INDEX(BankTransactions[Net (SAR)],1):BankTransactions[[#This Row],[Net (SAR)]])</f>
        <v>2144574.4200000004</v>
      </c>
    </row>
    <row r="287" spans="1:8" x14ac:dyDescent="0.2">
      <c r="A287" s="5" t="s">
        <v>417</v>
      </c>
      <c r="B287" s="4">
        <v>46077</v>
      </c>
      <c r="C287" s="2" t="s">
        <v>418</v>
      </c>
      <c r="D287" s="12">
        <v>2991.4</v>
      </c>
      <c r="E287" s="13">
        <v>0</v>
      </c>
      <c r="F287" s="19" t="str" cm="1">
        <f t="array" ref="F287">IFERROR(LOOKUP(2^15,SEARCH(CategoryMap[Keyword],BankTransactions[[#This Row],[Description]]),CategoryMap[Category]),"Other")</f>
        <v>Customer Receipts</v>
      </c>
      <c r="G287" s="6">
        <f>BankTransactions[[#This Row],[Credit (SAR)]]-BankTransactions[[#This Row],[Debit (SAR)]]</f>
        <v>2991.4</v>
      </c>
      <c r="H287" s="6">
        <f>Opening+SUM(INDEX(BankTransactions[Net (SAR)],1):BankTransactions[[#This Row],[Net (SAR)]])</f>
        <v>2147565.8200000003</v>
      </c>
    </row>
    <row r="288" spans="1:8" x14ac:dyDescent="0.2">
      <c r="A288" s="5" t="s">
        <v>419</v>
      </c>
      <c r="B288" s="4">
        <v>46077</v>
      </c>
      <c r="C288" s="2" t="s">
        <v>420</v>
      </c>
      <c r="D288" s="12">
        <v>2756.17</v>
      </c>
      <c r="E288" s="13">
        <v>0</v>
      </c>
      <c r="F288" s="19" t="str" cm="1">
        <f t="array" ref="F288">IFERROR(LOOKUP(2^15,SEARCH(CategoryMap[Keyword],BankTransactions[[#This Row],[Description]]),CategoryMap[Category]),"Other")</f>
        <v>Customer Receipts</v>
      </c>
      <c r="G288" s="6">
        <f>BankTransactions[[#This Row],[Credit (SAR)]]-BankTransactions[[#This Row],[Debit (SAR)]]</f>
        <v>2756.17</v>
      </c>
      <c r="H288" s="6">
        <f>Opening+SUM(INDEX(BankTransactions[Net (SAR)],1):BankTransactions[[#This Row],[Net (SAR)]])</f>
        <v>2150321.9900000002</v>
      </c>
    </row>
    <row r="289" spans="1:8" x14ac:dyDescent="0.2">
      <c r="A289" s="5" t="s">
        <v>421</v>
      </c>
      <c r="B289" s="4">
        <v>46078</v>
      </c>
      <c r="C289" s="2" t="s">
        <v>422</v>
      </c>
      <c r="D289" s="12">
        <v>7876.58</v>
      </c>
      <c r="E289" s="13">
        <v>0</v>
      </c>
      <c r="F289" s="19" t="str" cm="1">
        <f t="array" ref="F289">IFERROR(LOOKUP(2^15,SEARCH(CategoryMap[Keyword],BankTransactions[[#This Row],[Description]]),CategoryMap[Category]),"Other")</f>
        <v>Customer Receipts</v>
      </c>
      <c r="G289" s="6">
        <f>BankTransactions[[#This Row],[Credit (SAR)]]-BankTransactions[[#This Row],[Debit (SAR)]]</f>
        <v>7876.58</v>
      </c>
      <c r="H289" s="6">
        <f>Opening+SUM(INDEX(BankTransactions[Net (SAR)],1):BankTransactions[[#This Row],[Net (SAR)]])</f>
        <v>2158198.5700000003</v>
      </c>
    </row>
    <row r="290" spans="1:8" x14ac:dyDescent="0.2">
      <c r="A290" s="5" t="s">
        <v>423</v>
      </c>
      <c r="B290" s="4">
        <v>46078</v>
      </c>
      <c r="C290" s="2" t="s">
        <v>424</v>
      </c>
      <c r="D290" s="12">
        <v>12694.54</v>
      </c>
      <c r="E290" s="13">
        <v>0</v>
      </c>
      <c r="F290" s="19" t="str" cm="1">
        <f t="array" ref="F290">IFERROR(LOOKUP(2^15,SEARCH(CategoryMap[Keyword],BankTransactions[[#This Row],[Description]]),CategoryMap[Category]),"Other")</f>
        <v>Customer Receipts</v>
      </c>
      <c r="G290" s="6">
        <f>BankTransactions[[#This Row],[Credit (SAR)]]-BankTransactions[[#This Row],[Debit (SAR)]]</f>
        <v>12694.54</v>
      </c>
      <c r="H290" s="6">
        <f>Opening+SUM(INDEX(BankTransactions[Net (SAR)],1):BankTransactions[[#This Row],[Net (SAR)]])</f>
        <v>2170893.1100000003</v>
      </c>
    </row>
    <row r="291" spans="1:8" x14ac:dyDescent="0.2">
      <c r="A291" s="5" t="s">
        <v>425</v>
      </c>
      <c r="B291" s="4">
        <v>46078</v>
      </c>
      <c r="C291" s="2" t="s">
        <v>22</v>
      </c>
      <c r="D291" s="12">
        <v>0</v>
      </c>
      <c r="E291" s="13">
        <v>64000</v>
      </c>
      <c r="F291" s="19" t="str" cm="1">
        <f t="array" ref="F291">IFERROR(LOOKUP(2^15,SEARCH(CategoryMap[Keyword],BankTransactions[[#This Row],[Description]]),CategoryMap[Category]),"Other")</f>
        <v>Payroll</v>
      </c>
      <c r="G291" s="6">
        <f>BankTransactions[[#This Row],[Credit (SAR)]]-BankTransactions[[#This Row],[Debit (SAR)]]</f>
        <v>-64000</v>
      </c>
      <c r="H291" s="6">
        <f>Opening+SUM(INDEX(BankTransactions[Net (SAR)],1):BankTransactions[[#This Row],[Net (SAR)]])</f>
        <v>2106893.1100000003</v>
      </c>
    </row>
    <row r="292" spans="1:8" x14ac:dyDescent="0.2">
      <c r="A292" s="5" t="s">
        <v>426</v>
      </c>
      <c r="B292" s="4">
        <v>46078</v>
      </c>
      <c r="C292" s="2" t="s">
        <v>24</v>
      </c>
      <c r="D292" s="12">
        <v>0</v>
      </c>
      <c r="E292" s="13">
        <v>21000</v>
      </c>
      <c r="F292" s="19" t="str" cm="1">
        <f t="array" ref="F292">IFERROR(LOOKUP(2^15,SEARCH(CategoryMap[Keyword],BankTransactions[[#This Row],[Description]]),CategoryMap[Category]),"Other")</f>
        <v>Loan Repayments</v>
      </c>
      <c r="G292" s="6">
        <f>BankTransactions[[#This Row],[Credit (SAR)]]-BankTransactions[[#This Row],[Debit (SAR)]]</f>
        <v>-21000</v>
      </c>
      <c r="H292" s="6">
        <f>Opening+SUM(INDEX(BankTransactions[Net (SAR)],1):BankTransactions[[#This Row],[Net (SAR)]])</f>
        <v>2085893.1100000003</v>
      </c>
    </row>
    <row r="293" spans="1:8" x14ac:dyDescent="0.2">
      <c r="A293" s="5" t="s">
        <v>427</v>
      </c>
      <c r="B293" s="4">
        <v>46078</v>
      </c>
      <c r="C293" s="2" t="s">
        <v>12</v>
      </c>
      <c r="D293" s="12">
        <v>13186.49</v>
      </c>
      <c r="E293" s="13">
        <v>0</v>
      </c>
      <c r="F293" s="19" t="str" cm="1">
        <f t="array" ref="F293">IFERROR(LOOKUP(2^15,SEARCH(CategoryMap[Keyword],BankTransactions[[#This Row],[Description]]),CategoryMap[Category]),"Other")</f>
        <v>Cash Deposits</v>
      </c>
      <c r="G293" s="6">
        <f>BankTransactions[[#This Row],[Credit (SAR)]]-BankTransactions[[#This Row],[Debit (SAR)]]</f>
        <v>13186.49</v>
      </c>
      <c r="H293" s="6">
        <f>Opening+SUM(INDEX(BankTransactions[Net (SAR)],1):BankTransactions[[#This Row],[Net (SAR)]])</f>
        <v>2099079.6000000006</v>
      </c>
    </row>
    <row r="294" spans="1:8" x14ac:dyDescent="0.2">
      <c r="A294" s="5" t="s">
        <v>428</v>
      </c>
      <c r="B294" s="4">
        <v>46079</v>
      </c>
      <c r="C294" s="2" t="s">
        <v>429</v>
      </c>
      <c r="D294" s="12">
        <v>7663.97</v>
      </c>
      <c r="E294" s="13">
        <v>0</v>
      </c>
      <c r="F294" s="19" t="str" cm="1">
        <f t="array" ref="F294">IFERROR(LOOKUP(2^15,SEARCH(CategoryMap[Keyword],BankTransactions[[#This Row],[Description]]),CategoryMap[Category]),"Other")</f>
        <v>Customer Receipts</v>
      </c>
      <c r="G294" s="6">
        <f>BankTransactions[[#This Row],[Credit (SAR)]]-BankTransactions[[#This Row],[Debit (SAR)]]</f>
        <v>7663.97</v>
      </c>
      <c r="H294" s="6">
        <f>Opening+SUM(INDEX(BankTransactions[Net (SAR)],1):BankTransactions[[#This Row],[Net (SAR)]])</f>
        <v>2106743.5700000003</v>
      </c>
    </row>
    <row r="295" spans="1:8" x14ac:dyDescent="0.2">
      <c r="A295" s="5" t="s">
        <v>430</v>
      </c>
      <c r="B295" s="4">
        <v>46079</v>
      </c>
      <c r="C295" s="2" t="s">
        <v>10</v>
      </c>
      <c r="D295" s="12">
        <v>0</v>
      </c>
      <c r="E295" s="13">
        <v>7699.59</v>
      </c>
      <c r="F295" s="19" t="str" cm="1">
        <f t="array" ref="F295">IFERROR(LOOKUP(2^15,SEARCH(CategoryMap[Keyword],BankTransactions[[#This Row],[Description]]),CategoryMap[Category]),"Other")</f>
        <v>Fuel &amp; Logistics</v>
      </c>
      <c r="G295" s="6">
        <f>BankTransactions[[#This Row],[Credit (SAR)]]-BankTransactions[[#This Row],[Debit (SAR)]]</f>
        <v>-7699.59</v>
      </c>
      <c r="H295" s="6">
        <f>Opening+SUM(INDEX(BankTransactions[Net (SAR)],1):BankTransactions[[#This Row],[Net (SAR)]])</f>
        <v>2099043.9800000004</v>
      </c>
    </row>
    <row r="296" spans="1:8" x14ac:dyDescent="0.2">
      <c r="A296" s="5" t="s">
        <v>431</v>
      </c>
      <c r="B296" s="4">
        <v>46081</v>
      </c>
      <c r="C296" s="2" t="s">
        <v>207</v>
      </c>
      <c r="D296" s="12">
        <v>10334.89</v>
      </c>
      <c r="E296" s="13">
        <v>0</v>
      </c>
      <c r="F296" s="19" t="str" cm="1">
        <f t="array" ref="F296">IFERROR(LOOKUP(2^15,SEARCH(CategoryMap[Keyword],BankTransactions[[#This Row],[Description]]),CategoryMap[Category]),"Other")</f>
        <v>Customer Receipts</v>
      </c>
      <c r="G296" s="6">
        <f>BankTransactions[[#This Row],[Credit (SAR)]]-BankTransactions[[#This Row],[Debit (SAR)]]</f>
        <v>10334.89</v>
      </c>
      <c r="H296" s="6">
        <f>Opening+SUM(INDEX(BankTransactions[Net (SAR)],1):BankTransactions[[#This Row],[Net (SAR)]])</f>
        <v>2109378.87</v>
      </c>
    </row>
    <row r="297" spans="1:8" x14ac:dyDescent="0.2">
      <c r="A297" s="5" t="s">
        <v>432</v>
      </c>
      <c r="B297" s="4">
        <v>46081</v>
      </c>
      <c r="C297" s="2" t="s">
        <v>433</v>
      </c>
      <c r="D297" s="12">
        <v>4540.33</v>
      </c>
      <c r="E297" s="13">
        <v>0</v>
      </c>
      <c r="F297" s="19" t="str" cm="1">
        <f t="array" ref="F297">IFERROR(LOOKUP(2^15,SEARCH(CategoryMap[Keyword],BankTransactions[[#This Row],[Description]]),CategoryMap[Category]),"Other")</f>
        <v>Customer Receipts</v>
      </c>
      <c r="G297" s="6">
        <f>BankTransactions[[#This Row],[Credit (SAR)]]-BankTransactions[[#This Row],[Debit (SAR)]]</f>
        <v>4540.33</v>
      </c>
      <c r="H297" s="6">
        <f>Opening+SUM(INDEX(BankTransactions[Net (SAR)],1):BankTransactions[[#This Row],[Net (SAR)]])</f>
        <v>2113919.2000000002</v>
      </c>
    </row>
    <row r="298" spans="1:8" x14ac:dyDescent="0.2">
      <c r="A298" s="5" t="s">
        <v>434</v>
      </c>
      <c r="B298" s="4">
        <v>46082</v>
      </c>
      <c r="C298" s="2" t="s">
        <v>435</v>
      </c>
      <c r="D298" s="12">
        <v>20761.47</v>
      </c>
      <c r="E298" s="13">
        <v>0</v>
      </c>
      <c r="F298" s="19" t="str" cm="1">
        <f t="array" ref="F298">IFERROR(LOOKUP(2^15,SEARCH(CategoryMap[Keyword],BankTransactions[[#This Row],[Description]]),CategoryMap[Category]),"Other")</f>
        <v>Customer Receipts</v>
      </c>
      <c r="G298" s="6">
        <f>BankTransactions[[#This Row],[Credit (SAR)]]-BankTransactions[[#This Row],[Debit (SAR)]]</f>
        <v>20761.47</v>
      </c>
      <c r="H298" s="6">
        <f>Opening+SUM(INDEX(BankTransactions[Net (SAR)],1):BankTransactions[[#This Row],[Net (SAR)]])</f>
        <v>2134680.6700000004</v>
      </c>
    </row>
    <row r="299" spans="1:8" x14ac:dyDescent="0.2">
      <c r="A299" s="5" t="s">
        <v>436</v>
      </c>
      <c r="B299" s="4">
        <v>46082</v>
      </c>
      <c r="C299" s="2" t="s">
        <v>1</v>
      </c>
      <c r="D299" s="12">
        <v>0</v>
      </c>
      <c r="E299" s="13">
        <v>38000</v>
      </c>
      <c r="F299" s="19" t="str" cm="1">
        <f t="array" ref="F299">IFERROR(LOOKUP(2^15,SEARCH(CategoryMap[Keyword],BankTransactions[[#This Row],[Description]]),CategoryMap[Category]),"Other")</f>
        <v>Rent</v>
      </c>
      <c r="G299" s="6">
        <f>BankTransactions[[#This Row],[Credit (SAR)]]-BankTransactions[[#This Row],[Debit (SAR)]]</f>
        <v>-38000</v>
      </c>
      <c r="H299" s="6">
        <f>Opening+SUM(INDEX(BankTransactions[Net (SAR)],1):BankTransactions[[#This Row],[Net (SAR)]])</f>
        <v>2096680.6700000004</v>
      </c>
    </row>
    <row r="300" spans="1:8" x14ac:dyDescent="0.2">
      <c r="A300" s="5" t="s">
        <v>437</v>
      </c>
      <c r="B300" s="4">
        <v>46082</v>
      </c>
      <c r="C300" s="2" t="s">
        <v>10</v>
      </c>
      <c r="D300" s="12">
        <v>0</v>
      </c>
      <c r="E300" s="13">
        <v>16646.37</v>
      </c>
      <c r="F300" s="19" t="str" cm="1">
        <f t="array" ref="F300">IFERROR(LOOKUP(2^15,SEARCH(CategoryMap[Keyword],BankTransactions[[#This Row],[Description]]),CategoryMap[Category]),"Other")</f>
        <v>Fuel &amp; Logistics</v>
      </c>
      <c r="G300" s="6">
        <f>BankTransactions[[#This Row],[Credit (SAR)]]-BankTransactions[[#This Row],[Debit (SAR)]]</f>
        <v>-16646.37</v>
      </c>
      <c r="H300" s="6">
        <f>Opening+SUM(INDEX(BankTransactions[Net (SAR)],1):BankTransactions[[#This Row],[Net (SAR)]])</f>
        <v>2080034.3000000003</v>
      </c>
    </row>
    <row r="301" spans="1:8" x14ac:dyDescent="0.2">
      <c r="A301" s="5" t="s">
        <v>438</v>
      </c>
      <c r="B301" s="4">
        <v>46084</v>
      </c>
      <c r="C301" s="2" t="s">
        <v>439</v>
      </c>
      <c r="D301" s="12">
        <v>2034.67</v>
      </c>
      <c r="E301" s="13">
        <v>0</v>
      </c>
      <c r="F301" s="19" t="str" cm="1">
        <f t="array" ref="F301">IFERROR(LOOKUP(2^15,SEARCH(CategoryMap[Keyword],BankTransactions[[#This Row],[Description]]),CategoryMap[Category]),"Other")</f>
        <v>Customer Receipts</v>
      </c>
      <c r="G301" s="6">
        <f>BankTransactions[[#This Row],[Credit (SAR)]]-BankTransactions[[#This Row],[Debit (SAR)]]</f>
        <v>2034.67</v>
      </c>
      <c r="H301" s="6">
        <f>Opening+SUM(INDEX(BankTransactions[Net (SAR)],1):BankTransactions[[#This Row],[Net (SAR)]])</f>
        <v>2082068.9700000004</v>
      </c>
    </row>
    <row r="302" spans="1:8" x14ac:dyDescent="0.2">
      <c r="A302" s="5" t="s">
        <v>440</v>
      </c>
      <c r="B302" s="4">
        <v>46084</v>
      </c>
      <c r="C302" s="2" t="s">
        <v>7</v>
      </c>
      <c r="D302" s="12">
        <v>0</v>
      </c>
      <c r="E302" s="13">
        <v>86596.58</v>
      </c>
      <c r="F302" s="19" t="str" cm="1">
        <f t="array" ref="F302">IFERROR(LOOKUP(2^15,SEARCH(CategoryMap[Keyword],BankTransactions[[#This Row],[Description]]),CategoryMap[Category]),"Other")</f>
        <v>Supplier Payments</v>
      </c>
      <c r="G302" s="6">
        <f>BankTransactions[[#This Row],[Credit (SAR)]]-BankTransactions[[#This Row],[Debit (SAR)]]</f>
        <v>-86596.58</v>
      </c>
      <c r="H302" s="6">
        <f>Opening+SUM(INDEX(BankTransactions[Net (SAR)],1):BankTransactions[[#This Row],[Net (SAR)]])</f>
        <v>1995472.3900000004</v>
      </c>
    </row>
    <row r="303" spans="1:8" x14ac:dyDescent="0.2">
      <c r="A303" s="5" t="s">
        <v>441</v>
      </c>
      <c r="B303" s="4">
        <v>46084</v>
      </c>
      <c r="C303" s="2" t="s">
        <v>12</v>
      </c>
      <c r="D303" s="12">
        <v>5588.4</v>
      </c>
      <c r="E303" s="13">
        <v>0</v>
      </c>
      <c r="F303" s="19" t="str" cm="1">
        <f t="array" ref="F303">IFERROR(LOOKUP(2^15,SEARCH(CategoryMap[Keyword],BankTransactions[[#This Row],[Description]]),CategoryMap[Category]),"Other")</f>
        <v>Cash Deposits</v>
      </c>
      <c r="G303" s="6">
        <f>BankTransactions[[#This Row],[Credit (SAR)]]-BankTransactions[[#This Row],[Debit (SAR)]]</f>
        <v>5588.4</v>
      </c>
      <c r="H303" s="6">
        <f>Opening+SUM(INDEX(BankTransactions[Net (SAR)],1):BankTransactions[[#This Row],[Net (SAR)]])</f>
        <v>2001060.7900000005</v>
      </c>
    </row>
    <row r="304" spans="1:8" x14ac:dyDescent="0.2">
      <c r="A304" s="5" t="s">
        <v>442</v>
      </c>
      <c r="B304" s="4">
        <v>46085</v>
      </c>
      <c r="C304" s="2" t="s">
        <v>310</v>
      </c>
      <c r="D304" s="12">
        <v>7942.11</v>
      </c>
      <c r="E304" s="13">
        <v>0</v>
      </c>
      <c r="F304" s="19" t="str" cm="1">
        <f t="array" ref="F304">IFERROR(LOOKUP(2^15,SEARCH(CategoryMap[Keyword],BankTransactions[[#This Row],[Description]]),CategoryMap[Category]),"Other")</f>
        <v>Customer Receipts</v>
      </c>
      <c r="G304" s="6">
        <f>BankTransactions[[#This Row],[Credit (SAR)]]-BankTransactions[[#This Row],[Debit (SAR)]]</f>
        <v>7942.11</v>
      </c>
      <c r="H304" s="6">
        <f>Opening+SUM(INDEX(BankTransactions[Net (SAR)],1):BankTransactions[[#This Row],[Net (SAR)]])</f>
        <v>2009002.9000000004</v>
      </c>
    </row>
    <row r="305" spans="1:8" x14ac:dyDescent="0.2">
      <c r="A305" s="5" t="s">
        <v>443</v>
      </c>
      <c r="B305" s="4">
        <v>46085</v>
      </c>
      <c r="C305" s="2" t="s">
        <v>3</v>
      </c>
      <c r="D305" s="12">
        <v>0</v>
      </c>
      <c r="E305" s="13">
        <v>23716.94</v>
      </c>
      <c r="F305" s="19" t="str" cm="1">
        <f t="array" ref="F305">IFERROR(LOOKUP(2^15,SEARCH(CategoryMap[Keyword],BankTransactions[[#This Row],[Description]]),CategoryMap[Category]),"Other")</f>
        <v>Supplier Payments</v>
      </c>
      <c r="G305" s="6">
        <f>BankTransactions[[#This Row],[Credit (SAR)]]-BankTransactions[[#This Row],[Debit (SAR)]]</f>
        <v>-23716.94</v>
      </c>
      <c r="H305" s="6">
        <f>Opening+SUM(INDEX(BankTransactions[Net (SAR)],1):BankTransactions[[#This Row],[Net (SAR)]])</f>
        <v>1985285.9600000004</v>
      </c>
    </row>
    <row r="306" spans="1:8" x14ac:dyDescent="0.2">
      <c r="A306" s="5" t="s">
        <v>444</v>
      </c>
      <c r="B306" s="4">
        <v>46086</v>
      </c>
      <c r="C306" s="2" t="s">
        <v>445</v>
      </c>
      <c r="D306" s="12">
        <v>8117.57</v>
      </c>
      <c r="E306" s="13">
        <v>0</v>
      </c>
      <c r="F306" s="19" t="str" cm="1">
        <f t="array" ref="F306">IFERROR(LOOKUP(2^15,SEARCH(CategoryMap[Keyword],BankTransactions[[#This Row],[Description]]),CategoryMap[Category]),"Other")</f>
        <v>Customer Receipts</v>
      </c>
      <c r="G306" s="6">
        <f>BankTransactions[[#This Row],[Credit (SAR)]]-BankTransactions[[#This Row],[Debit (SAR)]]</f>
        <v>8117.57</v>
      </c>
      <c r="H306" s="6">
        <f>Opening+SUM(INDEX(BankTransactions[Net (SAR)],1):BankTransactions[[#This Row],[Net (SAR)]])</f>
        <v>1993403.5300000003</v>
      </c>
    </row>
    <row r="307" spans="1:8" x14ac:dyDescent="0.2">
      <c r="A307" s="5" t="s">
        <v>446</v>
      </c>
      <c r="B307" s="4">
        <v>46086</v>
      </c>
      <c r="C307" s="2" t="s">
        <v>447</v>
      </c>
      <c r="D307" s="12">
        <v>3440.89</v>
      </c>
      <c r="E307" s="13">
        <v>0</v>
      </c>
      <c r="F307" s="19" t="str" cm="1">
        <f t="array" ref="F307">IFERROR(LOOKUP(2^15,SEARCH(CategoryMap[Keyword],BankTransactions[[#This Row],[Description]]),CategoryMap[Category]),"Other")</f>
        <v>Customer Receipts</v>
      </c>
      <c r="G307" s="6">
        <f>BankTransactions[[#This Row],[Credit (SAR)]]-BankTransactions[[#This Row],[Debit (SAR)]]</f>
        <v>3440.89</v>
      </c>
      <c r="H307" s="6">
        <f>Opening+SUM(INDEX(BankTransactions[Net (SAR)],1):BankTransactions[[#This Row],[Net (SAR)]])</f>
        <v>1996844.4200000004</v>
      </c>
    </row>
    <row r="308" spans="1:8" x14ac:dyDescent="0.2">
      <c r="A308" s="5" t="s">
        <v>448</v>
      </c>
      <c r="B308" s="4">
        <v>46086</v>
      </c>
      <c r="C308" s="2" t="s">
        <v>449</v>
      </c>
      <c r="D308" s="12">
        <v>2339.56</v>
      </c>
      <c r="E308" s="13">
        <v>0</v>
      </c>
      <c r="F308" s="19" t="str" cm="1">
        <f t="array" ref="F308">IFERROR(LOOKUP(2^15,SEARCH(CategoryMap[Keyword],BankTransactions[[#This Row],[Description]]),CategoryMap[Category]),"Other")</f>
        <v>Customer Receipts</v>
      </c>
      <c r="G308" s="6">
        <f>BankTransactions[[#This Row],[Credit (SAR)]]-BankTransactions[[#This Row],[Debit (SAR)]]</f>
        <v>2339.56</v>
      </c>
      <c r="H308" s="6">
        <f>Opening+SUM(INDEX(BankTransactions[Net (SAR)],1):BankTransactions[[#This Row],[Net (SAR)]])</f>
        <v>1999183.9800000004</v>
      </c>
    </row>
    <row r="309" spans="1:8" x14ac:dyDescent="0.2">
      <c r="A309" s="5" t="s">
        <v>450</v>
      </c>
      <c r="B309" s="4">
        <v>46086</v>
      </c>
      <c r="C309" s="2" t="s">
        <v>12</v>
      </c>
      <c r="D309" s="12">
        <v>36663.31</v>
      </c>
      <c r="E309" s="13">
        <v>0</v>
      </c>
      <c r="F309" s="19" t="str" cm="1">
        <f t="array" ref="F309">IFERROR(LOOKUP(2^15,SEARCH(CategoryMap[Keyword],BankTransactions[[#This Row],[Description]]),CategoryMap[Category]),"Other")</f>
        <v>Cash Deposits</v>
      </c>
      <c r="G309" s="6">
        <f>BankTransactions[[#This Row],[Credit (SAR)]]-BankTransactions[[#This Row],[Debit (SAR)]]</f>
        <v>36663.31</v>
      </c>
      <c r="H309" s="6">
        <f>Opening+SUM(INDEX(BankTransactions[Net (SAR)],1):BankTransactions[[#This Row],[Net (SAR)]])</f>
        <v>2035847.2900000005</v>
      </c>
    </row>
    <row r="310" spans="1:8" x14ac:dyDescent="0.2">
      <c r="A310" s="5" t="s">
        <v>451</v>
      </c>
      <c r="B310" s="4">
        <v>46087</v>
      </c>
      <c r="C310" s="2" t="s">
        <v>452</v>
      </c>
      <c r="D310" s="12">
        <v>11139.2</v>
      </c>
      <c r="E310" s="13">
        <v>0</v>
      </c>
      <c r="F310" s="19" t="str" cm="1">
        <f t="array" ref="F310">IFERROR(LOOKUP(2^15,SEARCH(CategoryMap[Keyword],BankTransactions[[#This Row],[Description]]),CategoryMap[Category]),"Other")</f>
        <v>Customer Receipts</v>
      </c>
      <c r="G310" s="6">
        <f>BankTransactions[[#This Row],[Credit (SAR)]]-BankTransactions[[#This Row],[Debit (SAR)]]</f>
        <v>11139.2</v>
      </c>
      <c r="H310" s="6">
        <f>Opening+SUM(INDEX(BankTransactions[Net (SAR)],1):BankTransactions[[#This Row],[Net (SAR)]])</f>
        <v>2046986.4900000005</v>
      </c>
    </row>
    <row r="311" spans="1:8" x14ac:dyDescent="0.2">
      <c r="A311" s="5" t="s">
        <v>453</v>
      </c>
      <c r="B311" s="4">
        <v>46088</v>
      </c>
      <c r="C311" s="2" t="s">
        <v>454</v>
      </c>
      <c r="D311" s="12">
        <v>5911.51</v>
      </c>
      <c r="E311" s="13">
        <v>0</v>
      </c>
      <c r="F311" s="19" t="str" cm="1">
        <f t="array" ref="F311">IFERROR(LOOKUP(2^15,SEARCH(CategoryMap[Keyword],BankTransactions[[#This Row],[Description]]),CategoryMap[Category]),"Other")</f>
        <v>Customer Receipts</v>
      </c>
      <c r="G311" s="6">
        <f>BankTransactions[[#This Row],[Credit (SAR)]]-BankTransactions[[#This Row],[Debit (SAR)]]</f>
        <v>5911.51</v>
      </c>
      <c r="H311" s="6">
        <f>Opening+SUM(INDEX(BankTransactions[Net (SAR)],1):BankTransactions[[#This Row],[Net (SAR)]])</f>
        <v>2052898.0000000005</v>
      </c>
    </row>
    <row r="312" spans="1:8" x14ac:dyDescent="0.2">
      <c r="A312" s="5" t="s">
        <v>455</v>
      </c>
      <c r="B312" s="4">
        <v>46088</v>
      </c>
      <c r="C312" s="2" t="s">
        <v>456</v>
      </c>
      <c r="D312" s="12">
        <v>2601.91</v>
      </c>
      <c r="E312" s="13">
        <v>0</v>
      </c>
      <c r="F312" s="19" t="str" cm="1">
        <f t="array" ref="F312">IFERROR(LOOKUP(2^15,SEARCH(CategoryMap[Keyword],BankTransactions[[#This Row],[Description]]),CategoryMap[Category]),"Other")</f>
        <v>Customer Receipts</v>
      </c>
      <c r="G312" s="6">
        <f>BankTransactions[[#This Row],[Credit (SAR)]]-BankTransactions[[#This Row],[Debit (SAR)]]</f>
        <v>2601.91</v>
      </c>
      <c r="H312" s="6">
        <f>Opening+SUM(INDEX(BankTransactions[Net (SAR)],1):BankTransactions[[#This Row],[Net (SAR)]])</f>
        <v>2055499.9100000004</v>
      </c>
    </row>
    <row r="313" spans="1:8" x14ac:dyDescent="0.2">
      <c r="A313" s="5" t="s">
        <v>457</v>
      </c>
      <c r="B313" s="4">
        <v>46088</v>
      </c>
      <c r="C313" s="2" t="s">
        <v>458</v>
      </c>
      <c r="D313" s="12">
        <v>2774.97</v>
      </c>
      <c r="E313" s="13">
        <v>0</v>
      </c>
      <c r="F313" s="19" t="str" cm="1">
        <f t="array" ref="F313">IFERROR(LOOKUP(2^15,SEARCH(CategoryMap[Keyword],BankTransactions[[#This Row],[Description]]),CategoryMap[Category]),"Other")</f>
        <v>Customer Receipts</v>
      </c>
      <c r="G313" s="6">
        <f>BankTransactions[[#This Row],[Credit (SAR)]]-BankTransactions[[#This Row],[Debit (SAR)]]</f>
        <v>2774.97</v>
      </c>
      <c r="H313" s="6">
        <f>Opening+SUM(INDEX(BankTransactions[Net (SAR)],1):BankTransactions[[#This Row],[Net (SAR)]])</f>
        <v>2058274.8800000004</v>
      </c>
    </row>
    <row r="314" spans="1:8" x14ac:dyDescent="0.2">
      <c r="A314" s="5" t="s">
        <v>459</v>
      </c>
      <c r="B314" s="4">
        <v>46088</v>
      </c>
      <c r="C314" s="2" t="s">
        <v>3</v>
      </c>
      <c r="D314" s="12">
        <v>0</v>
      </c>
      <c r="E314" s="13">
        <v>20892.61</v>
      </c>
      <c r="F314" s="19" t="str" cm="1">
        <f t="array" ref="F314">IFERROR(LOOKUP(2^15,SEARCH(CategoryMap[Keyword],BankTransactions[[#This Row],[Description]]),CategoryMap[Category]),"Other")</f>
        <v>Supplier Payments</v>
      </c>
      <c r="G314" s="6">
        <f>BankTransactions[[#This Row],[Credit (SAR)]]-BankTransactions[[#This Row],[Debit (SAR)]]</f>
        <v>-20892.61</v>
      </c>
      <c r="H314" s="6">
        <f>Opening+SUM(INDEX(BankTransactions[Net (SAR)],1):BankTransactions[[#This Row],[Net (SAR)]])</f>
        <v>2037382.2700000005</v>
      </c>
    </row>
    <row r="315" spans="1:8" x14ac:dyDescent="0.2">
      <c r="A315" s="5" t="s">
        <v>460</v>
      </c>
      <c r="B315" s="4">
        <v>46089</v>
      </c>
      <c r="C315" s="2" t="s">
        <v>333</v>
      </c>
      <c r="D315" s="12">
        <v>2937.58</v>
      </c>
      <c r="E315" s="13">
        <v>0</v>
      </c>
      <c r="F315" s="19" t="str" cm="1">
        <f t="array" ref="F315">IFERROR(LOOKUP(2^15,SEARCH(CategoryMap[Keyword],BankTransactions[[#This Row],[Description]]),CategoryMap[Category]),"Other")</f>
        <v>Customer Receipts</v>
      </c>
      <c r="G315" s="6">
        <f>BankTransactions[[#This Row],[Credit (SAR)]]-BankTransactions[[#This Row],[Debit (SAR)]]</f>
        <v>2937.58</v>
      </c>
      <c r="H315" s="6">
        <f>Opening+SUM(INDEX(BankTransactions[Net (SAR)],1):BankTransactions[[#This Row],[Net (SAR)]])</f>
        <v>2040319.8500000003</v>
      </c>
    </row>
    <row r="316" spans="1:8" x14ac:dyDescent="0.2">
      <c r="A316" s="5" t="s">
        <v>461</v>
      </c>
      <c r="B316" s="4">
        <v>46089</v>
      </c>
      <c r="C316" s="2" t="s">
        <v>12</v>
      </c>
      <c r="D316" s="12">
        <v>8581.15</v>
      </c>
      <c r="E316" s="13">
        <v>0</v>
      </c>
      <c r="F316" s="19" t="str" cm="1">
        <f t="array" ref="F316">IFERROR(LOOKUP(2^15,SEARCH(CategoryMap[Keyword],BankTransactions[[#This Row],[Description]]),CategoryMap[Category]),"Other")</f>
        <v>Cash Deposits</v>
      </c>
      <c r="G316" s="6">
        <f>BankTransactions[[#This Row],[Credit (SAR)]]-BankTransactions[[#This Row],[Debit (SAR)]]</f>
        <v>8581.15</v>
      </c>
      <c r="H316" s="6">
        <f>Opening+SUM(INDEX(BankTransactions[Net (SAR)],1):BankTransactions[[#This Row],[Net (SAR)]])</f>
        <v>2048901.0000000005</v>
      </c>
    </row>
    <row r="317" spans="1:8" x14ac:dyDescent="0.2">
      <c r="A317" s="5" t="s">
        <v>462</v>
      </c>
      <c r="B317" s="4">
        <v>46089</v>
      </c>
      <c r="C317" s="2" t="s">
        <v>7</v>
      </c>
      <c r="D317" s="12">
        <v>0</v>
      </c>
      <c r="E317" s="13">
        <v>15891.6</v>
      </c>
      <c r="F317" s="19" t="str" cm="1">
        <f t="array" ref="F317">IFERROR(LOOKUP(2^15,SEARCH(CategoryMap[Keyword],BankTransactions[[#This Row],[Description]]),CategoryMap[Category]),"Other")</f>
        <v>Supplier Payments</v>
      </c>
      <c r="G317" s="6">
        <f>BankTransactions[[#This Row],[Credit (SAR)]]-BankTransactions[[#This Row],[Debit (SAR)]]</f>
        <v>-15891.6</v>
      </c>
      <c r="H317" s="6">
        <f>Opening+SUM(INDEX(BankTransactions[Net (SAR)],1):BankTransactions[[#This Row],[Net (SAR)]])</f>
        <v>2033009.4000000004</v>
      </c>
    </row>
    <row r="318" spans="1:8" x14ac:dyDescent="0.2">
      <c r="A318" s="5" t="s">
        <v>463</v>
      </c>
      <c r="B318" s="4">
        <v>46090</v>
      </c>
      <c r="C318" s="2" t="s">
        <v>464</v>
      </c>
      <c r="D318" s="12">
        <v>1146.95</v>
      </c>
      <c r="E318" s="13">
        <v>0</v>
      </c>
      <c r="F318" s="19" t="str" cm="1">
        <f t="array" ref="F318">IFERROR(LOOKUP(2^15,SEARCH(CategoryMap[Keyword],BankTransactions[[#This Row],[Description]]),CategoryMap[Category]),"Other")</f>
        <v>Customer Receipts</v>
      </c>
      <c r="G318" s="6">
        <f>BankTransactions[[#This Row],[Credit (SAR)]]-BankTransactions[[#This Row],[Debit (SAR)]]</f>
        <v>1146.95</v>
      </c>
      <c r="H318" s="6">
        <f>Opening+SUM(INDEX(BankTransactions[Net (SAR)],1):BankTransactions[[#This Row],[Net (SAR)]])</f>
        <v>2034156.3500000006</v>
      </c>
    </row>
    <row r="319" spans="1:8" x14ac:dyDescent="0.2">
      <c r="A319" s="5" t="s">
        <v>465</v>
      </c>
      <c r="B319" s="4">
        <v>46090</v>
      </c>
      <c r="C319" s="2" t="s">
        <v>7</v>
      </c>
      <c r="D319" s="12">
        <v>0</v>
      </c>
      <c r="E319" s="13">
        <v>6605.4</v>
      </c>
      <c r="F319" s="19" t="str" cm="1">
        <f t="array" ref="F319">IFERROR(LOOKUP(2^15,SEARCH(CategoryMap[Keyword],BankTransactions[[#This Row],[Description]]),CategoryMap[Category]),"Other")</f>
        <v>Supplier Payments</v>
      </c>
      <c r="G319" s="6">
        <f>BankTransactions[[#This Row],[Credit (SAR)]]-BankTransactions[[#This Row],[Debit (SAR)]]</f>
        <v>-6605.4</v>
      </c>
      <c r="H319" s="6">
        <f>Opening+SUM(INDEX(BankTransactions[Net (SAR)],1):BankTransactions[[#This Row],[Net (SAR)]])</f>
        <v>2027550.9500000004</v>
      </c>
    </row>
    <row r="320" spans="1:8" x14ac:dyDescent="0.2">
      <c r="A320" s="5" t="s">
        <v>466</v>
      </c>
      <c r="B320" s="4">
        <v>46091</v>
      </c>
      <c r="C320" s="2" t="s">
        <v>467</v>
      </c>
      <c r="D320" s="12">
        <v>10145.64</v>
      </c>
      <c r="E320" s="13">
        <v>0</v>
      </c>
      <c r="F320" s="19" t="str" cm="1">
        <f t="array" ref="F320">IFERROR(LOOKUP(2^15,SEARCH(CategoryMap[Keyword],BankTransactions[[#This Row],[Description]]),CategoryMap[Category]),"Other")</f>
        <v>Customer Receipts</v>
      </c>
      <c r="G320" s="6">
        <f>BankTransactions[[#This Row],[Credit (SAR)]]-BankTransactions[[#This Row],[Debit (SAR)]]</f>
        <v>10145.64</v>
      </c>
      <c r="H320" s="6">
        <f>Opening+SUM(INDEX(BankTransactions[Net (SAR)],1):BankTransactions[[#This Row],[Net (SAR)]])</f>
        <v>2037696.5900000003</v>
      </c>
    </row>
    <row r="321" spans="1:8" x14ac:dyDescent="0.2">
      <c r="A321" s="5" t="s">
        <v>468</v>
      </c>
      <c r="B321" s="4">
        <v>46091</v>
      </c>
      <c r="C321" s="2" t="s">
        <v>237</v>
      </c>
      <c r="D321" s="12">
        <v>16060.73</v>
      </c>
      <c r="E321" s="13">
        <v>0</v>
      </c>
      <c r="F321" s="19" t="str" cm="1">
        <f t="array" ref="F321">IFERROR(LOOKUP(2^15,SEARCH(CategoryMap[Keyword],BankTransactions[[#This Row],[Description]]),CategoryMap[Category]),"Other")</f>
        <v>Customer Receipts</v>
      </c>
      <c r="G321" s="6">
        <f>BankTransactions[[#This Row],[Credit (SAR)]]-BankTransactions[[#This Row],[Debit (SAR)]]</f>
        <v>16060.73</v>
      </c>
      <c r="H321" s="6">
        <f>Opening+SUM(INDEX(BankTransactions[Net (SAR)],1):BankTransactions[[#This Row],[Net (SAR)]])</f>
        <v>2053757.3200000003</v>
      </c>
    </row>
    <row r="322" spans="1:8" x14ac:dyDescent="0.2">
      <c r="A322" s="5" t="s">
        <v>469</v>
      </c>
      <c r="B322" s="4">
        <v>46091</v>
      </c>
      <c r="C322" s="2" t="s">
        <v>470</v>
      </c>
      <c r="D322" s="12">
        <v>1528.24</v>
      </c>
      <c r="E322" s="13">
        <v>0</v>
      </c>
      <c r="F322" s="19" t="str" cm="1">
        <f t="array" ref="F322">IFERROR(LOOKUP(2^15,SEARCH(CategoryMap[Keyword],BankTransactions[[#This Row],[Description]]),CategoryMap[Category]),"Other")</f>
        <v>Customer Receipts</v>
      </c>
      <c r="G322" s="6">
        <f>BankTransactions[[#This Row],[Credit (SAR)]]-BankTransactions[[#This Row],[Debit (SAR)]]</f>
        <v>1528.24</v>
      </c>
      <c r="H322" s="6">
        <f>Opening+SUM(INDEX(BankTransactions[Net (SAR)],1):BankTransactions[[#This Row],[Net (SAR)]])</f>
        <v>2055285.5600000005</v>
      </c>
    </row>
    <row r="323" spans="1:8" x14ac:dyDescent="0.2">
      <c r="A323" s="5" t="s">
        <v>471</v>
      </c>
      <c r="B323" s="4">
        <v>46091</v>
      </c>
      <c r="C323" s="2" t="s">
        <v>12</v>
      </c>
      <c r="D323" s="12">
        <v>26985.41</v>
      </c>
      <c r="E323" s="13">
        <v>0</v>
      </c>
      <c r="F323" s="19" t="str" cm="1">
        <f t="array" ref="F323">IFERROR(LOOKUP(2^15,SEARCH(CategoryMap[Keyword],BankTransactions[[#This Row],[Description]]),CategoryMap[Category]),"Other")</f>
        <v>Cash Deposits</v>
      </c>
      <c r="G323" s="6">
        <f>BankTransactions[[#This Row],[Credit (SAR)]]-BankTransactions[[#This Row],[Debit (SAR)]]</f>
        <v>26985.41</v>
      </c>
      <c r="H323" s="6">
        <f>Opening+SUM(INDEX(BankTransactions[Net (SAR)],1):BankTransactions[[#This Row],[Net (SAR)]])</f>
        <v>2082270.9700000004</v>
      </c>
    </row>
    <row r="324" spans="1:8" x14ac:dyDescent="0.2">
      <c r="A324" s="5" t="s">
        <v>472</v>
      </c>
      <c r="B324" s="4">
        <v>46092</v>
      </c>
      <c r="C324" s="2" t="s">
        <v>473</v>
      </c>
      <c r="D324" s="12">
        <v>15917.56</v>
      </c>
      <c r="E324" s="13">
        <v>0</v>
      </c>
      <c r="F324" s="19" t="str" cm="1">
        <f t="array" ref="F324">IFERROR(LOOKUP(2^15,SEARCH(CategoryMap[Keyword],BankTransactions[[#This Row],[Description]]),CategoryMap[Category]),"Other")</f>
        <v>Customer Receipts</v>
      </c>
      <c r="G324" s="6">
        <f>BankTransactions[[#This Row],[Credit (SAR)]]-BankTransactions[[#This Row],[Debit (SAR)]]</f>
        <v>15917.56</v>
      </c>
      <c r="H324" s="6">
        <f>Opening+SUM(INDEX(BankTransactions[Net (SAR)],1):BankTransactions[[#This Row],[Net (SAR)]])</f>
        <v>2098188.5300000003</v>
      </c>
    </row>
    <row r="325" spans="1:8" x14ac:dyDescent="0.2">
      <c r="A325" s="5" t="s">
        <v>474</v>
      </c>
      <c r="B325" s="4">
        <v>46092</v>
      </c>
      <c r="C325" s="2" t="s">
        <v>475</v>
      </c>
      <c r="D325" s="12">
        <v>3126.79</v>
      </c>
      <c r="E325" s="13">
        <v>0</v>
      </c>
      <c r="F325" s="19" t="str" cm="1">
        <f t="array" ref="F325">IFERROR(LOOKUP(2^15,SEARCH(CategoryMap[Keyword],BankTransactions[[#This Row],[Description]]),CategoryMap[Category]),"Other")</f>
        <v>Customer Receipts</v>
      </c>
      <c r="G325" s="6">
        <f>BankTransactions[[#This Row],[Credit (SAR)]]-BankTransactions[[#This Row],[Debit (SAR)]]</f>
        <v>3126.79</v>
      </c>
      <c r="H325" s="6">
        <f>Opening+SUM(INDEX(BankTransactions[Net (SAR)],1):BankTransactions[[#This Row],[Net (SAR)]])</f>
        <v>2101315.3200000003</v>
      </c>
    </row>
    <row r="326" spans="1:8" x14ac:dyDescent="0.2">
      <c r="A326" s="5" t="s">
        <v>476</v>
      </c>
      <c r="B326" s="4">
        <v>46093</v>
      </c>
      <c r="C326" s="2" t="s">
        <v>477</v>
      </c>
      <c r="D326" s="12">
        <v>15899.75</v>
      </c>
      <c r="E326" s="13">
        <v>0</v>
      </c>
      <c r="F326" s="19" t="str" cm="1">
        <f t="array" ref="F326">IFERROR(LOOKUP(2^15,SEARCH(CategoryMap[Keyword],BankTransactions[[#This Row],[Description]]),CategoryMap[Category]),"Other")</f>
        <v>Customer Receipts</v>
      </c>
      <c r="G326" s="6">
        <f>BankTransactions[[#This Row],[Credit (SAR)]]-BankTransactions[[#This Row],[Debit (SAR)]]</f>
        <v>15899.75</v>
      </c>
      <c r="H326" s="6">
        <f>Opening+SUM(INDEX(BankTransactions[Net (SAR)],1):BankTransactions[[#This Row],[Net (SAR)]])</f>
        <v>2117215.0700000003</v>
      </c>
    </row>
    <row r="327" spans="1:8" x14ac:dyDescent="0.2">
      <c r="A327" s="5" t="s">
        <v>478</v>
      </c>
      <c r="B327" s="4">
        <v>46093</v>
      </c>
      <c r="C327" s="2" t="s">
        <v>112</v>
      </c>
      <c r="D327" s="12">
        <v>19726.73</v>
      </c>
      <c r="E327" s="13">
        <v>0</v>
      </c>
      <c r="F327" s="19" t="str" cm="1">
        <f t="array" ref="F327">IFERROR(LOOKUP(2^15,SEARCH(CategoryMap[Keyword],BankTransactions[[#This Row],[Description]]),CategoryMap[Category]),"Other")</f>
        <v>Customer Receipts</v>
      </c>
      <c r="G327" s="6">
        <f>BankTransactions[[#This Row],[Credit (SAR)]]-BankTransactions[[#This Row],[Debit (SAR)]]</f>
        <v>19726.73</v>
      </c>
      <c r="H327" s="6">
        <f>Opening+SUM(INDEX(BankTransactions[Net (SAR)],1):BankTransactions[[#This Row],[Net (SAR)]])</f>
        <v>2136941.8000000003</v>
      </c>
    </row>
    <row r="328" spans="1:8" x14ac:dyDescent="0.2">
      <c r="A328" s="5" t="s">
        <v>479</v>
      </c>
      <c r="B328" s="4">
        <v>46094</v>
      </c>
      <c r="C328" s="2" t="s">
        <v>480</v>
      </c>
      <c r="D328" s="12">
        <v>2736.46</v>
      </c>
      <c r="E328" s="13">
        <v>0</v>
      </c>
      <c r="F328" s="19" t="str" cm="1">
        <f t="array" ref="F328">IFERROR(LOOKUP(2^15,SEARCH(CategoryMap[Keyword],BankTransactions[[#This Row],[Description]]),CategoryMap[Category]),"Other")</f>
        <v>Customer Receipts</v>
      </c>
      <c r="G328" s="6">
        <f>BankTransactions[[#This Row],[Credit (SAR)]]-BankTransactions[[#This Row],[Debit (SAR)]]</f>
        <v>2736.46</v>
      </c>
      <c r="H328" s="6">
        <f>Opening+SUM(INDEX(BankTransactions[Net (SAR)],1):BankTransactions[[#This Row],[Net (SAR)]])</f>
        <v>2139678.2600000002</v>
      </c>
    </row>
    <row r="329" spans="1:8" x14ac:dyDescent="0.2">
      <c r="A329" s="5" t="s">
        <v>481</v>
      </c>
      <c r="B329" s="4">
        <v>46094</v>
      </c>
      <c r="C329" s="2" t="s">
        <v>7</v>
      </c>
      <c r="D329" s="12">
        <v>0</v>
      </c>
      <c r="E329" s="13">
        <v>30094.23</v>
      </c>
      <c r="F329" s="19" t="str" cm="1">
        <f t="array" ref="F329">IFERROR(LOOKUP(2^15,SEARCH(CategoryMap[Keyword],BankTransactions[[#This Row],[Description]]),CategoryMap[Category]),"Other")</f>
        <v>Supplier Payments</v>
      </c>
      <c r="G329" s="6">
        <f>BankTransactions[[#This Row],[Credit (SAR)]]-BankTransactions[[#This Row],[Debit (SAR)]]</f>
        <v>-30094.23</v>
      </c>
      <c r="H329" s="6">
        <f>Opening+SUM(INDEX(BankTransactions[Net (SAR)],1):BankTransactions[[#This Row],[Net (SAR)]])</f>
        <v>2109584.0300000003</v>
      </c>
    </row>
    <row r="330" spans="1:8" x14ac:dyDescent="0.2">
      <c r="A330" s="5" t="s">
        <v>482</v>
      </c>
      <c r="B330" s="4">
        <v>46095</v>
      </c>
      <c r="C330" s="2" t="s">
        <v>483</v>
      </c>
      <c r="D330" s="12">
        <v>4889.8100000000004</v>
      </c>
      <c r="E330" s="13">
        <v>0</v>
      </c>
      <c r="F330" s="19" t="str" cm="1">
        <f t="array" ref="F330">IFERROR(LOOKUP(2^15,SEARCH(CategoryMap[Keyword],BankTransactions[[#This Row],[Description]]),CategoryMap[Category]),"Other")</f>
        <v>Customer Receipts</v>
      </c>
      <c r="G330" s="6">
        <f>BankTransactions[[#This Row],[Credit (SAR)]]-BankTransactions[[#This Row],[Debit (SAR)]]</f>
        <v>4889.8100000000004</v>
      </c>
      <c r="H330" s="6">
        <f>Opening+SUM(INDEX(BankTransactions[Net (SAR)],1):BankTransactions[[#This Row],[Net (SAR)]])</f>
        <v>2114473.8400000003</v>
      </c>
    </row>
    <row r="331" spans="1:8" x14ac:dyDescent="0.2">
      <c r="A331" s="5" t="s">
        <v>484</v>
      </c>
      <c r="B331" s="4">
        <v>46095</v>
      </c>
      <c r="C331" s="2" t="s">
        <v>190</v>
      </c>
      <c r="D331" s="12">
        <v>3617.58</v>
      </c>
      <c r="E331" s="13">
        <v>0</v>
      </c>
      <c r="F331" s="19" t="str" cm="1">
        <f t="array" ref="F331">IFERROR(LOOKUP(2^15,SEARCH(CategoryMap[Keyword],BankTransactions[[#This Row],[Description]]),CategoryMap[Category]),"Other")</f>
        <v>Customer Receipts</v>
      </c>
      <c r="G331" s="6">
        <f>BankTransactions[[#This Row],[Credit (SAR)]]-BankTransactions[[#This Row],[Debit (SAR)]]</f>
        <v>3617.58</v>
      </c>
      <c r="H331" s="6">
        <f>Opening+SUM(INDEX(BankTransactions[Net (SAR)],1):BankTransactions[[#This Row],[Net (SAR)]])</f>
        <v>2118091.4200000004</v>
      </c>
    </row>
    <row r="332" spans="1:8" x14ac:dyDescent="0.2">
      <c r="A332" s="5" t="s">
        <v>485</v>
      </c>
      <c r="B332" s="4">
        <v>46097</v>
      </c>
      <c r="C332" s="2" t="s">
        <v>486</v>
      </c>
      <c r="D332" s="12">
        <v>21291.74</v>
      </c>
      <c r="E332" s="13">
        <v>0</v>
      </c>
      <c r="F332" s="19" t="str" cm="1">
        <f t="array" ref="F332">IFERROR(LOOKUP(2^15,SEARCH(CategoryMap[Keyword],BankTransactions[[#This Row],[Description]]),CategoryMap[Category]),"Other")</f>
        <v>Customer Receipts</v>
      </c>
      <c r="G332" s="6">
        <f>BankTransactions[[#This Row],[Credit (SAR)]]-BankTransactions[[#This Row],[Debit (SAR)]]</f>
        <v>21291.74</v>
      </c>
      <c r="H332" s="6">
        <f>Opening+SUM(INDEX(BankTransactions[Net (SAR)],1):BankTransactions[[#This Row],[Net (SAR)]])</f>
        <v>2139383.16</v>
      </c>
    </row>
    <row r="333" spans="1:8" x14ac:dyDescent="0.2">
      <c r="A333" s="5" t="s">
        <v>487</v>
      </c>
      <c r="B333" s="4">
        <v>46097</v>
      </c>
      <c r="C333" s="2" t="s">
        <v>3</v>
      </c>
      <c r="D333" s="12">
        <v>8859.57</v>
      </c>
      <c r="E333" s="13">
        <v>8262.52</v>
      </c>
      <c r="F333" s="19" t="str" cm="1">
        <f t="array" ref="F333">IFERROR(LOOKUP(2^15,SEARCH(CategoryMap[Keyword],BankTransactions[[#This Row],[Description]]),CategoryMap[Category]),"Other")</f>
        <v>Supplier Payments</v>
      </c>
      <c r="G333" s="6">
        <f>BankTransactions[[#This Row],[Credit (SAR)]]-BankTransactions[[#This Row],[Debit (SAR)]]</f>
        <v>597.04999999999927</v>
      </c>
      <c r="H333" s="6">
        <f>Opening+SUM(INDEX(BankTransactions[Net (SAR)],1):BankTransactions[[#This Row],[Net (SAR)]])</f>
        <v>2139980.2100000004</v>
      </c>
    </row>
    <row r="334" spans="1:8" x14ac:dyDescent="0.2">
      <c r="A334" s="5" t="s">
        <v>488</v>
      </c>
      <c r="B334" s="4">
        <v>46098</v>
      </c>
      <c r="C334" s="2" t="s">
        <v>489</v>
      </c>
      <c r="D334" s="12">
        <v>11060.98</v>
      </c>
      <c r="E334" s="13">
        <v>0</v>
      </c>
      <c r="F334" s="19" t="str" cm="1">
        <f t="array" ref="F334">IFERROR(LOOKUP(2^15,SEARCH(CategoryMap[Keyword],BankTransactions[[#This Row],[Description]]),CategoryMap[Category]),"Other")</f>
        <v>Customer Receipts</v>
      </c>
      <c r="G334" s="6">
        <f>BankTransactions[[#This Row],[Credit (SAR)]]-BankTransactions[[#This Row],[Debit (SAR)]]</f>
        <v>11060.98</v>
      </c>
      <c r="H334" s="6">
        <f>Opening+SUM(INDEX(BankTransactions[Net (SAR)],1):BankTransactions[[#This Row],[Net (SAR)]])</f>
        <v>2151041.1900000004</v>
      </c>
    </row>
    <row r="335" spans="1:8" x14ac:dyDescent="0.2">
      <c r="A335" s="5" t="s">
        <v>490</v>
      </c>
      <c r="B335" s="4">
        <v>46098</v>
      </c>
      <c r="C335" s="2" t="s">
        <v>491</v>
      </c>
      <c r="D335" s="12">
        <v>6667.8</v>
      </c>
      <c r="E335" s="13">
        <v>0</v>
      </c>
      <c r="F335" s="19" t="str" cm="1">
        <f t="array" ref="F335">IFERROR(LOOKUP(2^15,SEARCH(CategoryMap[Keyword],BankTransactions[[#This Row],[Description]]),CategoryMap[Category]),"Other")</f>
        <v>Customer Receipts</v>
      </c>
      <c r="G335" s="6">
        <f>BankTransactions[[#This Row],[Credit (SAR)]]-BankTransactions[[#This Row],[Debit (SAR)]]</f>
        <v>6667.8</v>
      </c>
      <c r="H335" s="6">
        <f>Opening+SUM(INDEX(BankTransactions[Net (SAR)],1):BankTransactions[[#This Row],[Net (SAR)]])</f>
        <v>2157708.9900000002</v>
      </c>
    </row>
    <row r="336" spans="1:8" x14ac:dyDescent="0.2">
      <c r="A336" s="5" t="s">
        <v>492</v>
      </c>
      <c r="B336" s="4">
        <v>46098</v>
      </c>
      <c r="C336" s="2" t="s">
        <v>493</v>
      </c>
      <c r="D336" s="12">
        <v>5654.72</v>
      </c>
      <c r="E336" s="13">
        <v>0</v>
      </c>
      <c r="F336" s="19" t="str" cm="1">
        <f t="array" ref="F336">IFERROR(LOOKUP(2^15,SEARCH(CategoryMap[Keyword],BankTransactions[[#This Row],[Description]]),CategoryMap[Category]),"Other")</f>
        <v>Customer Receipts</v>
      </c>
      <c r="G336" s="6">
        <f>BankTransactions[[#This Row],[Credit (SAR)]]-BankTransactions[[#This Row],[Debit (SAR)]]</f>
        <v>5654.72</v>
      </c>
      <c r="H336" s="6">
        <f>Opening+SUM(INDEX(BankTransactions[Net (SAR)],1):BankTransactions[[#This Row],[Net (SAR)]])</f>
        <v>2163363.7100000004</v>
      </c>
    </row>
    <row r="337" spans="1:8" x14ac:dyDescent="0.2">
      <c r="A337" s="5" t="s">
        <v>494</v>
      </c>
      <c r="B337" s="4">
        <v>46098</v>
      </c>
      <c r="C337" s="2" t="s">
        <v>10</v>
      </c>
      <c r="D337" s="12">
        <v>0</v>
      </c>
      <c r="E337" s="13">
        <v>20792.62</v>
      </c>
      <c r="F337" s="19" t="str" cm="1">
        <f t="array" ref="F337">IFERROR(LOOKUP(2^15,SEARCH(CategoryMap[Keyword],BankTransactions[[#This Row],[Description]]),CategoryMap[Category]),"Other")</f>
        <v>Fuel &amp; Logistics</v>
      </c>
      <c r="G337" s="6">
        <f>BankTransactions[[#This Row],[Credit (SAR)]]-BankTransactions[[#This Row],[Debit (SAR)]]</f>
        <v>-20792.62</v>
      </c>
      <c r="H337" s="6">
        <f>Opening+SUM(INDEX(BankTransactions[Net (SAR)],1):BankTransactions[[#This Row],[Net (SAR)]])</f>
        <v>2142571.0900000003</v>
      </c>
    </row>
    <row r="338" spans="1:8" x14ac:dyDescent="0.2">
      <c r="A338" s="5" t="s">
        <v>495</v>
      </c>
      <c r="B338" s="4">
        <v>46099</v>
      </c>
      <c r="C338" s="2" t="s">
        <v>496</v>
      </c>
      <c r="D338" s="12">
        <v>16626.54</v>
      </c>
      <c r="E338" s="13">
        <v>0</v>
      </c>
      <c r="F338" s="19" t="str" cm="1">
        <f t="array" ref="F338">IFERROR(LOOKUP(2^15,SEARCH(CategoryMap[Keyword],BankTransactions[[#This Row],[Description]]),CategoryMap[Category]),"Other")</f>
        <v>Customer Receipts</v>
      </c>
      <c r="G338" s="6">
        <f>BankTransactions[[#This Row],[Credit (SAR)]]-BankTransactions[[#This Row],[Debit (SAR)]]</f>
        <v>16626.54</v>
      </c>
      <c r="H338" s="6">
        <f>Opening+SUM(INDEX(BankTransactions[Net (SAR)],1):BankTransactions[[#This Row],[Net (SAR)]])</f>
        <v>2159197.6300000004</v>
      </c>
    </row>
    <row r="339" spans="1:8" x14ac:dyDescent="0.2">
      <c r="A339" s="5" t="s">
        <v>497</v>
      </c>
      <c r="B339" s="4">
        <v>46099</v>
      </c>
      <c r="C339" s="2" t="s">
        <v>12</v>
      </c>
      <c r="D339" s="12">
        <v>13630.91</v>
      </c>
      <c r="E339" s="13">
        <v>0</v>
      </c>
      <c r="F339" s="19" t="str" cm="1">
        <f t="array" ref="F339">IFERROR(LOOKUP(2^15,SEARCH(CategoryMap[Keyword],BankTransactions[[#This Row],[Description]]),CategoryMap[Category]),"Other")</f>
        <v>Cash Deposits</v>
      </c>
      <c r="G339" s="6">
        <f>BankTransactions[[#This Row],[Credit (SAR)]]-BankTransactions[[#This Row],[Debit (SAR)]]</f>
        <v>13630.91</v>
      </c>
      <c r="H339" s="6">
        <f>Opening+SUM(INDEX(BankTransactions[Net (SAR)],1):BankTransactions[[#This Row],[Net (SAR)]])</f>
        <v>2172828.54</v>
      </c>
    </row>
    <row r="340" spans="1:8" x14ac:dyDescent="0.2">
      <c r="A340" s="5" t="s">
        <v>498</v>
      </c>
      <c r="B340" s="4">
        <v>46099</v>
      </c>
      <c r="C340" s="2" t="s">
        <v>12</v>
      </c>
      <c r="D340" s="12">
        <v>52350.99</v>
      </c>
      <c r="E340" s="13">
        <v>0</v>
      </c>
      <c r="F340" s="19" t="str" cm="1">
        <f t="array" ref="F340">IFERROR(LOOKUP(2^15,SEARCH(CategoryMap[Keyword],BankTransactions[[#This Row],[Description]]),CategoryMap[Category]),"Other")</f>
        <v>Cash Deposits</v>
      </c>
      <c r="G340" s="6">
        <f>BankTransactions[[#This Row],[Credit (SAR)]]-BankTransactions[[#This Row],[Debit (SAR)]]</f>
        <v>52350.99</v>
      </c>
      <c r="H340" s="6">
        <f>Opening+SUM(INDEX(BankTransactions[Net (SAR)],1):BankTransactions[[#This Row],[Net (SAR)]])</f>
        <v>2225179.5300000003</v>
      </c>
    </row>
    <row r="341" spans="1:8" x14ac:dyDescent="0.2">
      <c r="A341" s="5" t="s">
        <v>499</v>
      </c>
      <c r="B341" s="4">
        <v>46100</v>
      </c>
      <c r="C341" s="2" t="s">
        <v>500</v>
      </c>
      <c r="D341" s="12">
        <v>5897.13</v>
      </c>
      <c r="E341" s="13">
        <v>0</v>
      </c>
      <c r="F341" s="19" t="str" cm="1">
        <f t="array" ref="F341">IFERROR(LOOKUP(2^15,SEARCH(CategoryMap[Keyword],BankTransactions[[#This Row],[Description]]),CategoryMap[Category]),"Other")</f>
        <v>Customer Receipts</v>
      </c>
      <c r="G341" s="6">
        <f>BankTransactions[[#This Row],[Credit (SAR)]]-BankTransactions[[#This Row],[Debit (SAR)]]</f>
        <v>5897.13</v>
      </c>
      <c r="H341" s="6">
        <f>Opening+SUM(INDEX(BankTransactions[Net (SAR)],1):BankTransactions[[#This Row],[Net (SAR)]])</f>
        <v>2231076.66</v>
      </c>
    </row>
    <row r="342" spans="1:8" x14ac:dyDescent="0.2">
      <c r="A342" s="5" t="s">
        <v>501</v>
      </c>
      <c r="B342" s="4">
        <v>46100</v>
      </c>
      <c r="C342" s="2" t="s">
        <v>502</v>
      </c>
      <c r="D342" s="12">
        <v>6878.31</v>
      </c>
      <c r="E342" s="13">
        <v>0</v>
      </c>
      <c r="F342" s="19" t="str" cm="1">
        <f t="array" ref="F342">IFERROR(LOOKUP(2^15,SEARCH(CategoryMap[Keyword],BankTransactions[[#This Row],[Description]]),CategoryMap[Category]),"Other")</f>
        <v>Customer Receipts</v>
      </c>
      <c r="G342" s="6">
        <f>BankTransactions[[#This Row],[Credit (SAR)]]-BankTransactions[[#This Row],[Debit (SAR)]]</f>
        <v>6878.31</v>
      </c>
      <c r="H342" s="6">
        <f>Opening+SUM(INDEX(BankTransactions[Net (SAR)],1):BankTransactions[[#This Row],[Net (SAR)]])</f>
        <v>2237954.9700000002</v>
      </c>
    </row>
    <row r="343" spans="1:8" x14ac:dyDescent="0.2">
      <c r="A343" s="5" t="s">
        <v>503</v>
      </c>
      <c r="B343" s="4">
        <v>46101</v>
      </c>
      <c r="C343" s="2" t="s">
        <v>504</v>
      </c>
      <c r="D343" s="12">
        <v>8443.02</v>
      </c>
      <c r="E343" s="13">
        <v>0</v>
      </c>
      <c r="F343" s="19" t="str" cm="1">
        <f t="array" ref="F343">IFERROR(LOOKUP(2^15,SEARCH(CategoryMap[Keyword],BankTransactions[[#This Row],[Description]]),CategoryMap[Category]),"Other")</f>
        <v>Customer Receipts</v>
      </c>
      <c r="G343" s="6">
        <f>BankTransactions[[#This Row],[Credit (SAR)]]-BankTransactions[[#This Row],[Debit (SAR)]]</f>
        <v>8443.02</v>
      </c>
      <c r="H343" s="6">
        <f>Opening+SUM(INDEX(BankTransactions[Net (SAR)],1):BankTransactions[[#This Row],[Net (SAR)]])</f>
        <v>2246397.9900000002</v>
      </c>
    </row>
    <row r="344" spans="1:8" x14ac:dyDescent="0.2">
      <c r="A344" s="5" t="s">
        <v>505</v>
      </c>
      <c r="B344" s="4">
        <v>46102</v>
      </c>
      <c r="C344" s="2" t="s">
        <v>506</v>
      </c>
      <c r="D344" s="12">
        <v>6124.91</v>
      </c>
      <c r="E344" s="13">
        <v>0</v>
      </c>
      <c r="F344" s="19" t="str" cm="1">
        <f t="array" ref="F344">IFERROR(LOOKUP(2^15,SEARCH(CategoryMap[Keyword],BankTransactions[[#This Row],[Description]]),CategoryMap[Category]),"Other")</f>
        <v>Customer Receipts</v>
      </c>
      <c r="G344" s="6">
        <f>BankTransactions[[#This Row],[Credit (SAR)]]-BankTransactions[[#This Row],[Debit (SAR)]]</f>
        <v>6124.91</v>
      </c>
      <c r="H344" s="6">
        <f>Opening+SUM(INDEX(BankTransactions[Net (SAR)],1):BankTransactions[[#This Row],[Net (SAR)]])</f>
        <v>2252522.9000000004</v>
      </c>
    </row>
    <row r="345" spans="1:8" x14ac:dyDescent="0.2">
      <c r="A345" s="5" t="s">
        <v>507</v>
      </c>
      <c r="B345" s="4">
        <v>46102</v>
      </c>
      <c r="C345" s="2" t="s">
        <v>508</v>
      </c>
      <c r="D345" s="12">
        <v>4088.43</v>
      </c>
      <c r="E345" s="13">
        <v>0</v>
      </c>
      <c r="F345" s="19" t="str" cm="1">
        <f t="array" ref="F345">IFERROR(LOOKUP(2^15,SEARCH(CategoryMap[Keyword],BankTransactions[[#This Row],[Description]]),CategoryMap[Category]),"Other")</f>
        <v>Customer Receipts</v>
      </c>
      <c r="G345" s="6">
        <f>BankTransactions[[#This Row],[Credit (SAR)]]-BankTransactions[[#This Row],[Debit (SAR)]]</f>
        <v>4088.43</v>
      </c>
      <c r="H345" s="6">
        <f>Opening+SUM(INDEX(BankTransactions[Net (SAR)],1):BankTransactions[[#This Row],[Net (SAR)]])</f>
        <v>2256611.33</v>
      </c>
    </row>
    <row r="346" spans="1:8" x14ac:dyDescent="0.2">
      <c r="A346" s="5" t="s">
        <v>509</v>
      </c>
      <c r="B346" s="4">
        <v>46103</v>
      </c>
      <c r="C346" s="2" t="s">
        <v>12</v>
      </c>
      <c r="D346" s="12">
        <v>12851.62</v>
      </c>
      <c r="E346" s="13">
        <v>0</v>
      </c>
      <c r="F346" s="19" t="str" cm="1">
        <f t="array" ref="F346">IFERROR(LOOKUP(2^15,SEARCH(CategoryMap[Keyword],BankTransactions[[#This Row],[Description]]),CategoryMap[Category]),"Other")</f>
        <v>Cash Deposits</v>
      </c>
      <c r="G346" s="6">
        <f>BankTransactions[[#This Row],[Credit (SAR)]]-BankTransactions[[#This Row],[Debit (SAR)]]</f>
        <v>12851.62</v>
      </c>
      <c r="H346" s="6">
        <f>Opening+SUM(INDEX(BankTransactions[Net (SAR)],1):BankTransactions[[#This Row],[Net (SAR)]])</f>
        <v>2269462.9500000002</v>
      </c>
    </row>
    <row r="347" spans="1:8" x14ac:dyDescent="0.2">
      <c r="A347" s="5" t="s">
        <v>510</v>
      </c>
      <c r="B347" s="4">
        <v>46104</v>
      </c>
      <c r="C347" s="2" t="s">
        <v>511</v>
      </c>
      <c r="D347" s="12">
        <v>8256.4</v>
      </c>
      <c r="E347" s="13">
        <v>0</v>
      </c>
      <c r="F347" s="19" t="str" cm="1">
        <f t="array" ref="F347">IFERROR(LOOKUP(2^15,SEARCH(CategoryMap[Keyword],BankTransactions[[#This Row],[Description]]),CategoryMap[Category]),"Other")</f>
        <v>Customer Receipts</v>
      </c>
      <c r="G347" s="6">
        <f>BankTransactions[[#This Row],[Credit (SAR)]]-BankTransactions[[#This Row],[Debit (SAR)]]</f>
        <v>8256.4</v>
      </c>
      <c r="H347" s="6">
        <f>Opening+SUM(INDEX(BankTransactions[Net (SAR)],1):BankTransactions[[#This Row],[Net (SAR)]])</f>
        <v>2277719.35</v>
      </c>
    </row>
    <row r="348" spans="1:8" x14ac:dyDescent="0.2">
      <c r="A348" s="5" t="s">
        <v>512</v>
      </c>
      <c r="B348" s="4">
        <v>46104</v>
      </c>
      <c r="C348" s="2" t="s">
        <v>3</v>
      </c>
      <c r="D348" s="12">
        <v>0</v>
      </c>
      <c r="E348" s="13">
        <v>12608.02</v>
      </c>
      <c r="F348" s="19" t="str" cm="1">
        <f t="array" ref="F348">IFERROR(LOOKUP(2^15,SEARCH(CategoryMap[Keyword],BankTransactions[[#This Row],[Description]]),CategoryMap[Category]),"Other")</f>
        <v>Supplier Payments</v>
      </c>
      <c r="G348" s="6">
        <f>BankTransactions[[#This Row],[Credit (SAR)]]-BankTransactions[[#This Row],[Debit (SAR)]]</f>
        <v>-12608.02</v>
      </c>
      <c r="H348" s="6">
        <f>Opening+SUM(INDEX(BankTransactions[Net (SAR)],1):BankTransactions[[#This Row],[Net (SAR)]])</f>
        <v>2265111.33</v>
      </c>
    </row>
    <row r="349" spans="1:8" x14ac:dyDescent="0.2">
      <c r="A349" s="5" t="s">
        <v>513</v>
      </c>
      <c r="B349" s="4">
        <v>46105</v>
      </c>
      <c r="C349" s="2" t="s">
        <v>7</v>
      </c>
      <c r="D349" s="12">
        <v>0</v>
      </c>
      <c r="E349" s="13">
        <v>21976.23</v>
      </c>
      <c r="F349" s="19" t="str" cm="1">
        <f t="array" ref="F349">IFERROR(LOOKUP(2^15,SEARCH(CategoryMap[Keyword],BankTransactions[[#This Row],[Description]]),CategoryMap[Category]),"Other")</f>
        <v>Supplier Payments</v>
      </c>
      <c r="G349" s="6">
        <f>BankTransactions[[#This Row],[Credit (SAR)]]-BankTransactions[[#This Row],[Debit (SAR)]]</f>
        <v>-21976.23</v>
      </c>
      <c r="H349" s="6">
        <f>Opening+SUM(INDEX(BankTransactions[Net (SAR)],1):BankTransactions[[#This Row],[Net (SAR)]])</f>
        <v>2243135.1</v>
      </c>
    </row>
    <row r="350" spans="1:8" x14ac:dyDescent="0.2">
      <c r="A350" s="5" t="s">
        <v>514</v>
      </c>
      <c r="B350" s="4">
        <v>46106</v>
      </c>
      <c r="C350" s="2" t="s">
        <v>515</v>
      </c>
      <c r="D350" s="12">
        <v>61728.24</v>
      </c>
      <c r="E350" s="13">
        <v>0</v>
      </c>
      <c r="F350" s="19" t="str" cm="1">
        <f t="array" ref="F350">IFERROR(LOOKUP(2^15,SEARCH(CategoryMap[Keyword],BankTransactions[[#This Row],[Description]]),CategoryMap[Category]),"Other")</f>
        <v>Customer Receipts</v>
      </c>
      <c r="G350" s="6">
        <f>BankTransactions[[#This Row],[Credit (SAR)]]-BankTransactions[[#This Row],[Debit (SAR)]]</f>
        <v>61728.24</v>
      </c>
      <c r="H350" s="6">
        <f>Opening+SUM(INDEX(BankTransactions[Net (SAR)],1):BankTransactions[[#This Row],[Net (SAR)]])</f>
        <v>2304863.3400000003</v>
      </c>
    </row>
    <row r="351" spans="1:8" x14ac:dyDescent="0.2">
      <c r="A351" s="5" t="s">
        <v>516</v>
      </c>
      <c r="B351" s="4">
        <v>46106</v>
      </c>
      <c r="C351" s="2" t="s">
        <v>517</v>
      </c>
      <c r="D351" s="12">
        <v>3384.16</v>
      </c>
      <c r="E351" s="13">
        <v>0</v>
      </c>
      <c r="F351" s="19" t="str" cm="1">
        <f t="array" ref="F351">IFERROR(LOOKUP(2^15,SEARCH(CategoryMap[Keyword],BankTransactions[[#This Row],[Description]]),CategoryMap[Category]),"Other")</f>
        <v>Customer Receipts</v>
      </c>
      <c r="G351" s="6">
        <f>BankTransactions[[#This Row],[Credit (SAR)]]-BankTransactions[[#This Row],[Debit (SAR)]]</f>
        <v>3384.16</v>
      </c>
      <c r="H351" s="6">
        <f>Opening+SUM(INDEX(BankTransactions[Net (SAR)],1):BankTransactions[[#This Row],[Net (SAR)]])</f>
        <v>2308247.5</v>
      </c>
    </row>
    <row r="352" spans="1:8" x14ac:dyDescent="0.2">
      <c r="A352" s="5" t="s">
        <v>518</v>
      </c>
      <c r="B352" s="4">
        <v>46106</v>
      </c>
      <c r="C352" s="2" t="s">
        <v>519</v>
      </c>
      <c r="D352" s="12">
        <v>7139.69</v>
      </c>
      <c r="E352" s="13">
        <v>0</v>
      </c>
      <c r="F352" s="19" t="str" cm="1">
        <f t="array" ref="F352">IFERROR(LOOKUP(2^15,SEARCH(CategoryMap[Keyword],BankTransactions[[#This Row],[Description]]),CategoryMap[Category]),"Other")</f>
        <v>Customer Receipts</v>
      </c>
      <c r="G352" s="6">
        <f>BankTransactions[[#This Row],[Credit (SAR)]]-BankTransactions[[#This Row],[Debit (SAR)]]</f>
        <v>7139.69</v>
      </c>
      <c r="H352" s="6">
        <f>Opening+SUM(INDEX(BankTransactions[Net (SAR)],1):BankTransactions[[#This Row],[Net (SAR)]])</f>
        <v>2315387.1900000004</v>
      </c>
    </row>
    <row r="353" spans="1:8" x14ac:dyDescent="0.2">
      <c r="A353" s="5" t="s">
        <v>520</v>
      </c>
      <c r="B353" s="4">
        <v>46106</v>
      </c>
      <c r="C353" s="2" t="s">
        <v>22</v>
      </c>
      <c r="D353" s="12">
        <v>0</v>
      </c>
      <c r="E353" s="13">
        <v>64000</v>
      </c>
      <c r="F353" s="19" t="str" cm="1">
        <f t="array" ref="F353">IFERROR(LOOKUP(2^15,SEARCH(CategoryMap[Keyword],BankTransactions[[#This Row],[Description]]),CategoryMap[Category]),"Other")</f>
        <v>Payroll</v>
      </c>
      <c r="G353" s="6">
        <f>BankTransactions[[#This Row],[Credit (SAR)]]-BankTransactions[[#This Row],[Debit (SAR)]]</f>
        <v>-64000</v>
      </c>
      <c r="H353" s="6">
        <f>Opening+SUM(INDEX(BankTransactions[Net (SAR)],1):BankTransactions[[#This Row],[Net (SAR)]])</f>
        <v>2251387.1900000004</v>
      </c>
    </row>
    <row r="354" spans="1:8" x14ac:dyDescent="0.2">
      <c r="A354" s="5" t="s">
        <v>521</v>
      </c>
      <c r="B354" s="4">
        <v>46106</v>
      </c>
      <c r="C354" s="2" t="s">
        <v>24</v>
      </c>
      <c r="D354" s="12">
        <v>0</v>
      </c>
      <c r="E354" s="13">
        <v>21000</v>
      </c>
      <c r="F354" s="19" t="str" cm="1">
        <f t="array" ref="F354">IFERROR(LOOKUP(2^15,SEARCH(CategoryMap[Keyword],BankTransactions[[#This Row],[Description]]),CategoryMap[Category]),"Other")</f>
        <v>Loan Repayments</v>
      </c>
      <c r="G354" s="6">
        <f>BankTransactions[[#This Row],[Credit (SAR)]]-BankTransactions[[#This Row],[Debit (SAR)]]</f>
        <v>-21000</v>
      </c>
      <c r="H354" s="6">
        <f>Opening+SUM(INDEX(BankTransactions[Net (SAR)],1):BankTransactions[[#This Row],[Net (SAR)]])</f>
        <v>2230387.1900000004</v>
      </c>
    </row>
    <row r="355" spans="1:8" x14ac:dyDescent="0.2">
      <c r="A355" s="5" t="s">
        <v>522</v>
      </c>
      <c r="B355" s="4">
        <v>46106</v>
      </c>
      <c r="C355" s="2" t="s">
        <v>10</v>
      </c>
      <c r="D355" s="12">
        <v>0</v>
      </c>
      <c r="E355" s="13">
        <v>32389.09</v>
      </c>
      <c r="F355" s="19" t="str" cm="1">
        <f t="array" ref="F355">IFERROR(LOOKUP(2^15,SEARCH(CategoryMap[Keyword],BankTransactions[[#This Row],[Description]]),CategoryMap[Category]),"Other")</f>
        <v>Fuel &amp; Logistics</v>
      </c>
      <c r="G355" s="6">
        <f>BankTransactions[[#This Row],[Credit (SAR)]]-BankTransactions[[#This Row],[Debit (SAR)]]</f>
        <v>-32389.09</v>
      </c>
      <c r="H355" s="6">
        <f>Opening+SUM(INDEX(BankTransactions[Net (SAR)],1):BankTransactions[[#This Row],[Net (SAR)]])</f>
        <v>2197998.1</v>
      </c>
    </row>
    <row r="356" spans="1:8" x14ac:dyDescent="0.2">
      <c r="A356" s="5" t="s">
        <v>523</v>
      </c>
      <c r="B356" s="4">
        <v>46107</v>
      </c>
      <c r="C356" s="2" t="s">
        <v>524</v>
      </c>
      <c r="D356" s="12">
        <v>6338.84</v>
      </c>
      <c r="E356" s="13">
        <v>0</v>
      </c>
      <c r="F356" s="19" t="str" cm="1">
        <f t="array" ref="F356">IFERROR(LOOKUP(2^15,SEARCH(CategoryMap[Keyword],BankTransactions[[#This Row],[Description]]),CategoryMap[Category]),"Other")</f>
        <v>Customer Receipts</v>
      </c>
      <c r="G356" s="6">
        <f>BankTransactions[[#This Row],[Credit (SAR)]]-BankTransactions[[#This Row],[Debit (SAR)]]</f>
        <v>6338.84</v>
      </c>
      <c r="H356" s="6">
        <f>Opening+SUM(INDEX(BankTransactions[Net (SAR)],1):BankTransactions[[#This Row],[Net (SAR)]])</f>
        <v>2204336.9400000004</v>
      </c>
    </row>
    <row r="357" spans="1:8" x14ac:dyDescent="0.2">
      <c r="A357" s="5" t="s">
        <v>525</v>
      </c>
      <c r="B357" s="4">
        <v>46107</v>
      </c>
      <c r="C357" s="2" t="s">
        <v>526</v>
      </c>
      <c r="D357" s="12">
        <v>7416.88</v>
      </c>
      <c r="E357" s="13">
        <v>0</v>
      </c>
      <c r="F357" s="19" t="str" cm="1">
        <f t="array" ref="F357">IFERROR(LOOKUP(2^15,SEARCH(CategoryMap[Keyword],BankTransactions[[#This Row],[Description]]),CategoryMap[Category]),"Other")</f>
        <v>Customer Receipts</v>
      </c>
      <c r="G357" s="6">
        <f>BankTransactions[[#This Row],[Credit (SAR)]]-BankTransactions[[#This Row],[Debit (SAR)]]</f>
        <v>7416.88</v>
      </c>
      <c r="H357" s="6">
        <f>Opening+SUM(INDEX(BankTransactions[Net (SAR)],1):BankTransactions[[#This Row],[Net (SAR)]])</f>
        <v>2211753.8200000003</v>
      </c>
    </row>
    <row r="358" spans="1:8" x14ac:dyDescent="0.2">
      <c r="A358" s="5" t="s">
        <v>527</v>
      </c>
      <c r="B358" s="4">
        <v>46110</v>
      </c>
      <c r="C358" s="2" t="s">
        <v>10</v>
      </c>
      <c r="D358" s="12">
        <v>0</v>
      </c>
      <c r="E358" s="13">
        <v>14211.43</v>
      </c>
      <c r="F358" s="19" t="str" cm="1">
        <f t="array" ref="F358">IFERROR(LOOKUP(2^15,SEARCH(CategoryMap[Keyword],BankTransactions[[#This Row],[Description]]),CategoryMap[Category]),"Other")</f>
        <v>Fuel &amp; Logistics</v>
      </c>
      <c r="G358" s="6">
        <f>BankTransactions[[#This Row],[Credit (SAR)]]-BankTransactions[[#This Row],[Debit (SAR)]]</f>
        <v>-14211.43</v>
      </c>
      <c r="H358" s="6">
        <f>Opening+SUM(INDEX(BankTransactions[Net (SAR)],1):BankTransactions[[#This Row],[Net (SAR)]])</f>
        <v>2197542.39</v>
      </c>
    </row>
    <row r="359" spans="1:8" x14ac:dyDescent="0.2">
      <c r="A359" s="5" t="s">
        <v>528</v>
      </c>
      <c r="B359" s="4">
        <v>46111</v>
      </c>
      <c r="C359" s="2" t="s">
        <v>529</v>
      </c>
      <c r="D359" s="12">
        <v>8786.34</v>
      </c>
      <c r="E359" s="13">
        <v>0</v>
      </c>
      <c r="F359" s="19" t="str" cm="1">
        <f t="array" ref="F359">IFERROR(LOOKUP(2^15,SEARCH(CategoryMap[Keyword],BankTransactions[[#This Row],[Description]]),CategoryMap[Category]),"Other")</f>
        <v>Customer Receipts</v>
      </c>
      <c r="G359" s="6">
        <f>BankTransactions[[#This Row],[Credit (SAR)]]-BankTransactions[[#This Row],[Debit (SAR)]]</f>
        <v>8786.34</v>
      </c>
      <c r="H359" s="6">
        <f>Opening+SUM(INDEX(BankTransactions[Net (SAR)],1):BankTransactions[[#This Row],[Net (SAR)]])</f>
        <v>2206328.7300000004</v>
      </c>
    </row>
    <row r="360" spans="1:8" x14ac:dyDescent="0.2">
      <c r="A360" s="5" t="s">
        <v>530</v>
      </c>
      <c r="B360" s="4">
        <v>46113</v>
      </c>
      <c r="C360" s="2" t="s">
        <v>531</v>
      </c>
      <c r="D360" s="12">
        <v>22615.83</v>
      </c>
      <c r="E360" s="13">
        <v>0</v>
      </c>
      <c r="F360" s="19" t="str" cm="1">
        <f t="array" ref="F360">IFERROR(LOOKUP(2^15,SEARCH(CategoryMap[Keyword],BankTransactions[[#This Row],[Description]]),CategoryMap[Category]),"Other")</f>
        <v>Customer Receipts</v>
      </c>
      <c r="G360" s="6">
        <f>BankTransactions[[#This Row],[Credit (SAR)]]-BankTransactions[[#This Row],[Debit (SAR)]]</f>
        <v>22615.83</v>
      </c>
      <c r="H360" s="6">
        <f>Opening+SUM(INDEX(BankTransactions[Net (SAR)],1):BankTransactions[[#This Row],[Net (SAR)]])</f>
        <v>2228944.5600000005</v>
      </c>
    </row>
    <row r="361" spans="1:8" x14ac:dyDescent="0.2">
      <c r="A361" s="5" t="s">
        <v>532</v>
      </c>
      <c r="B361" s="4">
        <v>46113</v>
      </c>
      <c r="C361" s="2" t="s">
        <v>1</v>
      </c>
      <c r="D361" s="12">
        <v>0</v>
      </c>
      <c r="E361" s="13">
        <v>38000</v>
      </c>
      <c r="F361" s="19" t="str" cm="1">
        <f t="array" ref="F361">IFERROR(LOOKUP(2^15,SEARCH(CategoryMap[Keyword],BankTransactions[[#This Row],[Description]]),CategoryMap[Category]),"Other")</f>
        <v>Rent</v>
      </c>
      <c r="G361" s="6">
        <f>BankTransactions[[#This Row],[Credit (SAR)]]-BankTransactions[[#This Row],[Debit (SAR)]]</f>
        <v>-38000</v>
      </c>
      <c r="H361" s="6">
        <f>Opening+SUM(INDEX(BankTransactions[Net (SAR)],1):BankTransactions[[#This Row],[Net (SAR)]])</f>
        <v>2190944.5600000005</v>
      </c>
    </row>
    <row r="362" spans="1:8" x14ac:dyDescent="0.2">
      <c r="A362" s="5" t="s">
        <v>533</v>
      </c>
      <c r="B362" s="4">
        <v>46114</v>
      </c>
      <c r="C362" s="2" t="s">
        <v>534</v>
      </c>
      <c r="D362" s="12">
        <v>5281.72</v>
      </c>
      <c r="E362" s="13">
        <v>0</v>
      </c>
      <c r="F362" s="19" t="str" cm="1">
        <f t="array" ref="F362">IFERROR(LOOKUP(2^15,SEARCH(CategoryMap[Keyword],BankTransactions[[#This Row],[Description]]),CategoryMap[Category]),"Other")</f>
        <v>Customer Receipts</v>
      </c>
      <c r="G362" s="6">
        <f>BankTransactions[[#This Row],[Credit (SAR)]]-BankTransactions[[#This Row],[Debit (SAR)]]</f>
        <v>5281.72</v>
      </c>
      <c r="H362" s="6">
        <f>Opening+SUM(INDEX(BankTransactions[Net (SAR)],1):BankTransactions[[#This Row],[Net (SAR)]])</f>
        <v>2196226.2800000003</v>
      </c>
    </row>
    <row r="363" spans="1:8" x14ac:dyDescent="0.2">
      <c r="A363" s="5" t="s">
        <v>535</v>
      </c>
      <c r="B363" s="4">
        <v>46114</v>
      </c>
      <c r="C363" s="2" t="s">
        <v>536</v>
      </c>
      <c r="D363" s="12">
        <v>63633.01</v>
      </c>
      <c r="E363" s="13">
        <v>0</v>
      </c>
      <c r="F363" s="19" t="str" cm="1">
        <f t="array" ref="F363">IFERROR(LOOKUP(2^15,SEARCH(CategoryMap[Keyword],BankTransactions[[#This Row],[Description]]),CategoryMap[Category]),"Other")</f>
        <v>Customer Receipts</v>
      </c>
      <c r="G363" s="6">
        <f>BankTransactions[[#This Row],[Credit (SAR)]]-BankTransactions[[#This Row],[Debit (SAR)]]</f>
        <v>63633.01</v>
      </c>
      <c r="H363" s="6">
        <f>Opening+SUM(INDEX(BankTransactions[Net (SAR)],1):BankTransactions[[#This Row],[Net (SAR)]])</f>
        <v>2259859.29</v>
      </c>
    </row>
    <row r="364" spans="1:8" x14ac:dyDescent="0.2">
      <c r="A364" s="5" t="s">
        <v>537</v>
      </c>
      <c r="B364" s="4">
        <v>46115</v>
      </c>
      <c r="C364" s="2" t="s">
        <v>171</v>
      </c>
      <c r="D364" s="12">
        <v>2914.86</v>
      </c>
      <c r="E364" s="13">
        <v>0</v>
      </c>
      <c r="F364" s="19" t="str" cm="1">
        <f t="array" ref="F364">IFERROR(LOOKUP(2^15,SEARCH(CategoryMap[Keyword],BankTransactions[[#This Row],[Description]]),CategoryMap[Category]),"Other")</f>
        <v>Customer Receipts</v>
      </c>
      <c r="G364" s="6">
        <f>BankTransactions[[#This Row],[Credit (SAR)]]-BankTransactions[[#This Row],[Debit (SAR)]]</f>
        <v>2914.86</v>
      </c>
      <c r="H364" s="6">
        <f>Opening+SUM(INDEX(BankTransactions[Net (SAR)],1):BankTransactions[[#This Row],[Net (SAR)]])</f>
        <v>2262774.1500000004</v>
      </c>
    </row>
    <row r="365" spans="1:8" x14ac:dyDescent="0.2">
      <c r="A365" s="5" t="s">
        <v>538</v>
      </c>
      <c r="B365" s="4">
        <v>46116</v>
      </c>
      <c r="C365" s="2" t="s">
        <v>539</v>
      </c>
      <c r="D365" s="12">
        <v>7580.16</v>
      </c>
      <c r="E365" s="13">
        <v>0</v>
      </c>
      <c r="F365" s="19" t="str" cm="1">
        <f t="array" ref="F365">IFERROR(LOOKUP(2^15,SEARCH(CategoryMap[Keyword],BankTransactions[[#This Row],[Description]]),CategoryMap[Category]),"Other")</f>
        <v>Customer Receipts</v>
      </c>
      <c r="G365" s="6">
        <f>BankTransactions[[#This Row],[Credit (SAR)]]-BankTransactions[[#This Row],[Debit (SAR)]]</f>
        <v>7580.16</v>
      </c>
      <c r="H365" s="6">
        <f>Opening+SUM(INDEX(BankTransactions[Net (SAR)],1):BankTransactions[[#This Row],[Net (SAR)]])</f>
        <v>2270354.31</v>
      </c>
    </row>
    <row r="366" spans="1:8" x14ac:dyDescent="0.2">
      <c r="A366" s="5" t="s">
        <v>540</v>
      </c>
      <c r="B366" s="4">
        <v>46116</v>
      </c>
      <c r="C366" s="2" t="s">
        <v>12</v>
      </c>
      <c r="D366" s="12">
        <v>19352.849999999999</v>
      </c>
      <c r="E366" s="13">
        <v>0</v>
      </c>
      <c r="F366" s="19" t="str" cm="1">
        <f t="array" ref="F366">IFERROR(LOOKUP(2^15,SEARCH(CategoryMap[Keyword],BankTransactions[[#This Row],[Description]]),CategoryMap[Category]),"Other")</f>
        <v>Cash Deposits</v>
      </c>
      <c r="G366" s="6">
        <f>BankTransactions[[#This Row],[Credit (SAR)]]-BankTransactions[[#This Row],[Debit (SAR)]]</f>
        <v>19352.849999999999</v>
      </c>
      <c r="H366" s="6">
        <f>Opening+SUM(INDEX(BankTransactions[Net (SAR)],1):BankTransactions[[#This Row],[Net (SAR)]])</f>
        <v>2289707.16</v>
      </c>
    </row>
    <row r="367" spans="1:8" x14ac:dyDescent="0.2">
      <c r="A367" s="5" t="s">
        <v>541</v>
      </c>
      <c r="B367" s="4">
        <v>46117</v>
      </c>
      <c r="C367" s="2" t="s">
        <v>542</v>
      </c>
      <c r="D367" s="12">
        <v>3590.29</v>
      </c>
      <c r="E367" s="13">
        <v>0</v>
      </c>
      <c r="F367" s="19" t="str" cm="1">
        <f t="array" ref="F367">IFERROR(LOOKUP(2^15,SEARCH(CategoryMap[Keyword],BankTransactions[[#This Row],[Description]]),CategoryMap[Category]),"Other")</f>
        <v>Customer Receipts</v>
      </c>
      <c r="G367" s="6">
        <f>BankTransactions[[#This Row],[Credit (SAR)]]-BankTransactions[[#This Row],[Debit (SAR)]]</f>
        <v>3590.29</v>
      </c>
      <c r="H367" s="6">
        <f>Opening+SUM(INDEX(BankTransactions[Net (SAR)],1):BankTransactions[[#This Row],[Net (SAR)]])</f>
        <v>2293297.4500000002</v>
      </c>
    </row>
    <row r="368" spans="1:8" x14ac:dyDescent="0.2">
      <c r="A368" s="5" t="s">
        <v>543</v>
      </c>
      <c r="B368" s="4">
        <v>46117</v>
      </c>
      <c r="C368" s="2" t="s">
        <v>7</v>
      </c>
      <c r="D368" s="12">
        <v>0</v>
      </c>
      <c r="E368" s="13">
        <v>22428.97</v>
      </c>
      <c r="F368" s="19" t="str" cm="1">
        <f t="array" ref="F368">IFERROR(LOOKUP(2^15,SEARCH(CategoryMap[Keyword],BankTransactions[[#This Row],[Description]]),CategoryMap[Category]),"Other")</f>
        <v>Supplier Payments</v>
      </c>
      <c r="G368" s="6">
        <f>BankTransactions[[#This Row],[Credit (SAR)]]-BankTransactions[[#This Row],[Debit (SAR)]]</f>
        <v>-22428.97</v>
      </c>
      <c r="H368" s="6">
        <f>Opening+SUM(INDEX(BankTransactions[Net (SAR)],1):BankTransactions[[#This Row],[Net (SAR)]])</f>
        <v>2270868.4800000004</v>
      </c>
    </row>
    <row r="369" spans="1:8" x14ac:dyDescent="0.2">
      <c r="A369" s="5" t="s">
        <v>544</v>
      </c>
      <c r="B369" s="4">
        <v>46118</v>
      </c>
      <c r="C369" s="2" t="s">
        <v>12</v>
      </c>
      <c r="D369" s="12">
        <v>10240.959999999999</v>
      </c>
      <c r="E369" s="13">
        <v>0</v>
      </c>
      <c r="F369" s="19" t="str" cm="1">
        <f t="array" ref="F369">IFERROR(LOOKUP(2^15,SEARCH(CategoryMap[Keyword],BankTransactions[[#This Row],[Description]]),CategoryMap[Category]),"Other")</f>
        <v>Cash Deposits</v>
      </c>
      <c r="G369" s="6">
        <f>BankTransactions[[#This Row],[Credit (SAR)]]-BankTransactions[[#This Row],[Debit (SAR)]]</f>
        <v>10240.959999999999</v>
      </c>
      <c r="H369" s="6">
        <f>Opening+SUM(INDEX(BankTransactions[Net (SAR)],1):BankTransactions[[#This Row],[Net (SAR)]])</f>
        <v>2281109.4400000004</v>
      </c>
    </row>
    <row r="370" spans="1:8" x14ac:dyDescent="0.2">
      <c r="A370" s="5" t="s">
        <v>545</v>
      </c>
      <c r="B370" s="4">
        <v>46118</v>
      </c>
      <c r="C370" s="2" t="s">
        <v>12</v>
      </c>
      <c r="D370" s="12">
        <v>37077.740000000005</v>
      </c>
      <c r="E370" s="13">
        <v>0</v>
      </c>
      <c r="F370" s="19" t="str" cm="1">
        <f t="array" ref="F370">IFERROR(LOOKUP(2^15,SEARCH(CategoryMap[Keyword],BankTransactions[[#This Row],[Description]]),CategoryMap[Category]),"Other")</f>
        <v>Cash Deposits</v>
      </c>
      <c r="G370" s="6">
        <f>BankTransactions[[#This Row],[Credit (SAR)]]-BankTransactions[[#This Row],[Debit (SAR)]]</f>
        <v>37077.740000000005</v>
      </c>
      <c r="H370" s="6">
        <f>Opening+SUM(INDEX(BankTransactions[Net (SAR)],1):BankTransactions[[#This Row],[Net (SAR)]])</f>
        <v>2318187.1800000002</v>
      </c>
    </row>
    <row r="371" spans="1:8" x14ac:dyDescent="0.2">
      <c r="A371" s="5" t="s">
        <v>546</v>
      </c>
      <c r="B371" s="4">
        <v>46118</v>
      </c>
      <c r="C371" s="2" t="s">
        <v>10</v>
      </c>
      <c r="D371" s="12">
        <v>0</v>
      </c>
      <c r="E371" s="13">
        <v>50704.09</v>
      </c>
      <c r="F371" s="19" t="str" cm="1">
        <f t="array" ref="F371">IFERROR(LOOKUP(2^15,SEARCH(CategoryMap[Keyword],BankTransactions[[#This Row],[Description]]),CategoryMap[Category]),"Other")</f>
        <v>Fuel &amp; Logistics</v>
      </c>
      <c r="G371" s="6">
        <f>BankTransactions[[#This Row],[Credit (SAR)]]-BankTransactions[[#This Row],[Debit (SAR)]]</f>
        <v>-50704.09</v>
      </c>
      <c r="H371" s="6">
        <f>Opening+SUM(INDEX(BankTransactions[Net (SAR)],1):BankTransactions[[#This Row],[Net (SAR)]])</f>
        <v>2267483.0900000003</v>
      </c>
    </row>
    <row r="372" spans="1:8" x14ac:dyDescent="0.2">
      <c r="A372" s="5" t="s">
        <v>547</v>
      </c>
      <c r="B372" s="4">
        <v>46119</v>
      </c>
      <c r="C372" s="2" t="s">
        <v>548</v>
      </c>
      <c r="D372" s="12">
        <v>4602.45</v>
      </c>
      <c r="E372" s="13">
        <v>0</v>
      </c>
      <c r="F372" s="19" t="str" cm="1">
        <f t="array" ref="F372">IFERROR(LOOKUP(2^15,SEARCH(CategoryMap[Keyword],BankTransactions[[#This Row],[Description]]),CategoryMap[Category]),"Other")</f>
        <v>Customer Receipts</v>
      </c>
      <c r="G372" s="6">
        <f>BankTransactions[[#This Row],[Credit (SAR)]]-BankTransactions[[#This Row],[Debit (SAR)]]</f>
        <v>4602.45</v>
      </c>
      <c r="H372" s="6">
        <f>Opening+SUM(INDEX(BankTransactions[Net (SAR)],1):BankTransactions[[#This Row],[Net (SAR)]])</f>
        <v>2272085.5400000005</v>
      </c>
    </row>
    <row r="373" spans="1:8" x14ac:dyDescent="0.2">
      <c r="A373" s="5" t="s">
        <v>549</v>
      </c>
      <c r="B373" s="4">
        <v>46119</v>
      </c>
      <c r="C373" s="2" t="s">
        <v>12</v>
      </c>
      <c r="D373" s="12">
        <v>0</v>
      </c>
      <c r="E373" s="13">
        <v>0</v>
      </c>
      <c r="F373" s="19" t="str" cm="1">
        <f t="array" ref="F373">IFERROR(LOOKUP(2^15,SEARCH(CategoryMap[Keyword],BankTransactions[[#This Row],[Description]]),CategoryMap[Category]),"Other")</f>
        <v>Cash Deposits</v>
      </c>
      <c r="G373" s="6">
        <f>BankTransactions[[#This Row],[Credit (SAR)]]-BankTransactions[[#This Row],[Debit (SAR)]]</f>
        <v>0</v>
      </c>
      <c r="H373" s="6">
        <f>Opening+SUM(INDEX(BankTransactions[Net (SAR)],1):BankTransactions[[#This Row],[Net (SAR)]])</f>
        <v>2272085.5400000005</v>
      </c>
    </row>
    <row r="374" spans="1:8" x14ac:dyDescent="0.2">
      <c r="A374" s="5" t="s">
        <v>550</v>
      </c>
      <c r="B374" s="4">
        <v>46120</v>
      </c>
      <c r="C374" s="2" t="s">
        <v>551</v>
      </c>
      <c r="D374" s="12">
        <v>13817.32</v>
      </c>
      <c r="E374" s="13">
        <v>0</v>
      </c>
      <c r="F374" s="19" t="str" cm="1">
        <f t="array" ref="F374">IFERROR(LOOKUP(2^15,SEARCH(CategoryMap[Keyword],BankTransactions[[#This Row],[Description]]),CategoryMap[Category]),"Other")</f>
        <v>Customer Receipts</v>
      </c>
      <c r="G374" s="6">
        <f>BankTransactions[[#This Row],[Credit (SAR)]]-BankTransactions[[#This Row],[Debit (SAR)]]</f>
        <v>13817.32</v>
      </c>
      <c r="H374" s="6">
        <f>Opening+SUM(INDEX(BankTransactions[Net (SAR)],1):BankTransactions[[#This Row],[Net (SAR)]])</f>
        <v>2285902.8600000003</v>
      </c>
    </row>
    <row r="375" spans="1:8" x14ac:dyDescent="0.2">
      <c r="A375" s="5" t="s">
        <v>552</v>
      </c>
      <c r="B375" s="4">
        <v>46120</v>
      </c>
      <c r="C375" s="2" t="s">
        <v>553</v>
      </c>
      <c r="D375" s="12">
        <v>28370.91</v>
      </c>
      <c r="E375" s="13">
        <v>0</v>
      </c>
      <c r="F375" s="19" t="str" cm="1">
        <f t="array" ref="F375">IFERROR(LOOKUP(2^15,SEARCH(CategoryMap[Keyword],BankTransactions[[#This Row],[Description]]),CategoryMap[Category]),"Other")</f>
        <v>Customer Receipts</v>
      </c>
      <c r="G375" s="6">
        <f>BankTransactions[[#This Row],[Credit (SAR)]]-BankTransactions[[#This Row],[Debit (SAR)]]</f>
        <v>28370.91</v>
      </c>
      <c r="H375" s="6">
        <f>Opening+SUM(INDEX(BankTransactions[Net (SAR)],1):BankTransactions[[#This Row],[Net (SAR)]])</f>
        <v>2314273.7700000005</v>
      </c>
    </row>
    <row r="376" spans="1:8" x14ac:dyDescent="0.2">
      <c r="A376" s="5" t="s">
        <v>554</v>
      </c>
      <c r="B376" s="4">
        <v>46120</v>
      </c>
      <c r="C376" s="2" t="s">
        <v>555</v>
      </c>
      <c r="D376" s="12">
        <v>9409.33</v>
      </c>
      <c r="E376" s="13">
        <v>0</v>
      </c>
      <c r="F376" s="19" t="str" cm="1">
        <f t="array" ref="F376">IFERROR(LOOKUP(2^15,SEARCH(CategoryMap[Keyword],BankTransactions[[#This Row],[Description]]),CategoryMap[Category]),"Other")</f>
        <v>Customer Receipts</v>
      </c>
      <c r="G376" s="6">
        <f>BankTransactions[[#This Row],[Credit (SAR)]]-BankTransactions[[#This Row],[Debit (SAR)]]</f>
        <v>9409.33</v>
      </c>
      <c r="H376" s="6">
        <f>Opening+SUM(INDEX(BankTransactions[Net (SAR)],1):BankTransactions[[#This Row],[Net (SAR)]])</f>
        <v>2323683.1</v>
      </c>
    </row>
    <row r="377" spans="1:8" x14ac:dyDescent="0.2">
      <c r="A377" s="5" t="s">
        <v>556</v>
      </c>
      <c r="B377" s="4">
        <v>46120</v>
      </c>
      <c r="C377" s="2" t="s">
        <v>391</v>
      </c>
      <c r="D377" s="12">
        <v>8992.4599999999991</v>
      </c>
      <c r="E377" s="13">
        <v>0</v>
      </c>
      <c r="F377" s="19" t="str" cm="1">
        <f t="array" ref="F377">IFERROR(LOOKUP(2^15,SEARCH(CategoryMap[Keyword],BankTransactions[[#This Row],[Description]]),CategoryMap[Category]),"Other")</f>
        <v>Customer Receipts</v>
      </c>
      <c r="G377" s="6">
        <f>BankTransactions[[#This Row],[Credit (SAR)]]-BankTransactions[[#This Row],[Debit (SAR)]]</f>
        <v>8992.4599999999991</v>
      </c>
      <c r="H377" s="6">
        <f>Opening+SUM(INDEX(BankTransactions[Net (SAR)],1):BankTransactions[[#This Row],[Net (SAR)]])</f>
        <v>2332675.5600000005</v>
      </c>
    </row>
    <row r="378" spans="1:8" x14ac:dyDescent="0.2">
      <c r="A378" s="5" t="s">
        <v>557</v>
      </c>
      <c r="B378" s="4">
        <v>46120</v>
      </c>
      <c r="C378" s="2" t="s">
        <v>10</v>
      </c>
      <c r="D378" s="12">
        <v>0</v>
      </c>
      <c r="E378" s="13">
        <v>18876.43</v>
      </c>
      <c r="F378" s="19" t="str" cm="1">
        <f t="array" ref="F378">IFERROR(LOOKUP(2^15,SEARCH(CategoryMap[Keyword],BankTransactions[[#This Row],[Description]]),CategoryMap[Category]),"Other")</f>
        <v>Fuel &amp; Logistics</v>
      </c>
      <c r="G378" s="6">
        <f>BankTransactions[[#This Row],[Credit (SAR)]]-BankTransactions[[#This Row],[Debit (SAR)]]</f>
        <v>-18876.43</v>
      </c>
      <c r="H378" s="6">
        <f>Opening+SUM(INDEX(BankTransactions[Net (SAR)],1):BankTransactions[[#This Row],[Net (SAR)]])</f>
        <v>2313799.1300000004</v>
      </c>
    </row>
    <row r="379" spans="1:8" x14ac:dyDescent="0.2">
      <c r="A379" s="5" t="s">
        <v>558</v>
      </c>
      <c r="B379" s="4">
        <v>46121</v>
      </c>
      <c r="C379" s="2" t="s">
        <v>559</v>
      </c>
      <c r="D379" s="12">
        <v>3459.29</v>
      </c>
      <c r="E379" s="13">
        <v>0</v>
      </c>
      <c r="F379" s="19" t="str" cm="1">
        <f t="array" ref="F379">IFERROR(LOOKUP(2^15,SEARCH(CategoryMap[Keyword],BankTransactions[[#This Row],[Description]]),CategoryMap[Category]),"Other")</f>
        <v>Customer Receipts</v>
      </c>
      <c r="G379" s="6">
        <f>BankTransactions[[#This Row],[Credit (SAR)]]-BankTransactions[[#This Row],[Debit (SAR)]]</f>
        <v>3459.29</v>
      </c>
      <c r="H379" s="6">
        <f>Opening+SUM(INDEX(BankTransactions[Net (SAR)],1):BankTransactions[[#This Row],[Net (SAR)]])</f>
        <v>2317258.4200000004</v>
      </c>
    </row>
    <row r="380" spans="1:8" x14ac:dyDescent="0.2">
      <c r="A380" s="5" t="s">
        <v>560</v>
      </c>
      <c r="B380" s="4">
        <v>46121</v>
      </c>
      <c r="C380" s="2" t="s">
        <v>110</v>
      </c>
      <c r="D380" s="12">
        <v>3177.37</v>
      </c>
      <c r="E380" s="13">
        <v>0</v>
      </c>
      <c r="F380" s="19" t="str" cm="1">
        <f t="array" ref="F380">IFERROR(LOOKUP(2^15,SEARCH(CategoryMap[Keyword],BankTransactions[[#This Row],[Description]]),CategoryMap[Category]),"Other")</f>
        <v>Customer Receipts</v>
      </c>
      <c r="G380" s="6">
        <f>BankTransactions[[#This Row],[Credit (SAR)]]-BankTransactions[[#This Row],[Debit (SAR)]]</f>
        <v>3177.37</v>
      </c>
      <c r="H380" s="6">
        <f>Opening+SUM(INDEX(BankTransactions[Net (SAR)],1):BankTransactions[[#This Row],[Net (SAR)]])</f>
        <v>2320435.7900000005</v>
      </c>
    </row>
    <row r="381" spans="1:8" x14ac:dyDescent="0.2">
      <c r="A381" s="5" t="s">
        <v>561</v>
      </c>
      <c r="B381" s="4">
        <v>46121</v>
      </c>
      <c r="C381" s="2" t="s">
        <v>562</v>
      </c>
      <c r="D381" s="12">
        <v>49419.08</v>
      </c>
      <c r="E381" s="13">
        <v>0</v>
      </c>
      <c r="F381" s="19" t="str" cm="1">
        <f t="array" ref="F381">IFERROR(LOOKUP(2^15,SEARCH(CategoryMap[Keyword],BankTransactions[[#This Row],[Description]]),CategoryMap[Category]),"Other")</f>
        <v>Customer Receipts</v>
      </c>
      <c r="G381" s="6">
        <f>BankTransactions[[#This Row],[Credit (SAR)]]-BankTransactions[[#This Row],[Debit (SAR)]]</f>
        <v>49419.08</v>
      </c>
      <c r="H381" s="6">
        <f>Opening+SUM(INDEX(BankTransactions[Net (SAR)],1):BankTransactions[[#This Row],[Net (SAR)]])</f>
        <v>2369854.87</v>
      </c>
    </row>
    <row r="382" spans="1:8" x14ac:dyDescent="0.2">
      <c r="A382" s="5" t="s">
        <v>563</v>
      </c>
      <c r="B382" s="4">
        <v>46122</v>
      </c>
      <c r="C382" s="2" t="s">
        <v>195</v>
      </c>
      <c r="D382" s="12">
        <v>5957.18</v>
      </c>
      <c r="E382" s="13">
        <v>0</v>
      </c>
      <c r="F382" s="19" t="str" cm="1">
        <f t="array" ref="F382">IFERROR(LOOKUP(2^15,SEARCH(CategoryMap[Keyword],BankTransactions[[#This Row],[Description]]),CategoryMap[Category]),"Other")</f>
        <v>Customer Receipts</v>
      </c>
      <c r="G382" s="6">
        <f>BankTransactions[[#This Row],[Credit (SAR)]]-BankTransactions[[#This Row],[Debit (SAR)]]</f>
        <v>5957.18</v>
      </c>
      <c r="H382" s="6">
        <f>Opening+SUM(INDEX(BankTransactions[Net (SAR)],1):BankTransactions[[#This Row],[Net (SAR)]])</f>
        <v>2375812.0500000003</v>
      </c>
    </row>
    <row r="383" spans="1:8" x14ac:dyDescent="0.2">
      <c r="A383" s="5" t="s">
        <v>564</v>
      </c>
      <c r="B383" s="4">
        <v>46122</v>
      </c>
      <c r="C383" s="2" t="s">
        <v>565</v>
      </c>
      <c r="D383" s="12">
        <v>1462.06</v>
      </c>
      <c r="E383" s="13">
        <v>0</v>
      </c>
      <c r="F383" s="19" t="str" cm="1">
        <f t="array" ref="F383">IFERROR(LOOKUP(2^15,SEARCH(CategoryMap[Keyword],BankTransactions[[#This Row],[Description]]),CategoryMap[Category]),"Other")</f>
        <v>Customer Receipts</v>
      </c>
      <c r="G383" s="6">
        <f>BankTransactions[[#This Row],[Credit (SAR)]]-BankTransactions[[#This Row],[Debit (SAR)]]</f>
        <v>1462.06</v>
      </c>
      <c r="H383" s="6">
        <f>Opening+SUM(INDEX(BankTransactions[Net (SAR)],1):BankTransactions[[#This Row],[Net (SAR)]])</f>
        <v>2377274.1100000003</v>
      </c>
    </row>
    <row r="384" spans="1:8" x14ac:dyDescent="0.2">
      <c r="A384" s="5" t="s">
        <v>566</v>
      </c>
      <c r="B384" s="4">
        <v>46122</v>
      </c>
      <c r="C384" s="2" t="s">
        <v>3</v>
      </c>
      <c r="D384" s="12">
        <v>2106.4</v>
      </c>
      <c r="E384" s="13">
        <v>18615.150000000001</v>
      </c>
      <c r="F384" s="19" t="str" cm="1">
        <f t="array" ref="F384">IFERROR(LOOKUP(2^15,SEARCH(CategoryMap[Keyword],BankTransactions[[#This Row],[Description]]),CategoryMap[Category]),"Other")</f>
        <v>Supplier Payments</v>
      </c>
      <c r="G384" s="6">
        <f>BankTransactions[[#This Row],[Credit (SAR)]]-BankTransactions[[#This Row],[Debit (SAR)]]</f>
        <v>-16508.75</v>
      </c>
      <c r="H384" s="6">
        <f>Opening+SUM(INDEX(BankTransactions[Net (SAR)],1):BankTransactions[[#This Row],[Net (SAR)]])</f>
        <v>2360765.3600000003</v>
      </c>
    </row>
    <row r="385" spans="1:8" x14ac:dyDescent="0.2">
      <c r="A385" s="5" t="s">
        <v>567</v>
      </c>
      <c r="B385" s="4">
        <v>46123</v>
      </c>
      <c r="C385" s="2" t="s">
        <v>568</v>
      </c>
      <c r="D385" s="12">
        <v>8657.17</v>
      </c>
      <c r="E385" s="13">
        <v>0</v>
      </c>
      <c r="F385" s="19" t="str" cm="1">
        <f t="array" ref="F385">IFERROR(LOOKUP(2^15,SEARCH(CategoryMap[Keyword],BankTransactions[[#This Row],[Description]]),CategoryMap[Category]),"Other")</f>
        <v>Customer Receipts</v>
      </c>
      <c r="G385" s="6">
        <f>BankTransactions[[#This Row],[Credit (SAR)]]-BankTransactions[[#This Row],[Debit (SAR)]]</f>
        <v>8657.17</v>
      </c>
      <c r="H385" s="6">
        <f>Opening+SUM(INDEX(BankTransactions[Net (SAR)],1):BankTransactions[[#This Row],[Net (SAR)]])</f>
        <v>2369422.5300000003</v>
      </c>
    </row>
    <row r="386" spans="1:8" x14ac:dyDescent="0.2">
      <c r="A386" s="5" t="s">
        <v>569</v>
      </c>
      <c r="B386" s="4">
        <v>46123</v>
      </c>
      <c r="C386" s="2" t="s">
        <v>570</v>
      </c>
      <c r="D386" s="12">
        <v>9157.61</v>
      </c>
      <c r="E386" s="13">
        <v>0</v>
      </c>
      <c r="F386" s="19" t="str" cm="1">
        <f t="array" ref="F386">IFERROR(LOOKUP(2^15,SEARCH(CategoryMap[Keyword],BankTransactions[[#This Row],[Description]]),CategoryMap[Category]),"Other")</f>
        <v>Customer Receipts</v>
      </c>
      <c r="G386" s="6">
        <f>BankTransactions[[#This Row],[Credit (SAR)]]-BankTransactions[[#This Row],[Debit (SAR)]]</f>
        <v>9157.61</v>
      </c>
      <c r="H386" s="6">
        <f>Opening+SUM(INDEX(BankTransactions[Net (SAR)],1):BankTransactions[[#This Row],[Net (SAR)]])</f>
        <v>2378580.14</v>
      </c>
    </row>
    <row r="387" spans="1:8" x14ac:dyDescent="0.2">
      <c r="A387" s="5" t="s">
        <v>571</v>
      </c>
      <c r="B387" s="4">
        <v>46123</v>
      </c>
      <c r="C387" s="2" t="s">
        <v>572</v>
      </c>
      <c r="D387" s="12">
        <v>5902.67</v>
      </c>
      <c r="E387" s="13">
        <v>0</v>
      </c>
      <c r="F387" s="19" t="str" cm="1">
        <f t="array" ref="F387">IFERROR(LOOKUP(2^15,SEARCH(CategoryMap[Keyword],BankTransactions[[#This Row],[Description]]),CategoryMap[Category]),"Other")</f>
        <v>Customer Receipts</v>
      </c>
      <c r="G387" s="6">
        <f>BankTransactions[[#This Row],[Credit (SAR)]]-BankTransactions[[#This Row],[Debit (SAR)]]</f>
        <v>5902.67</v>
      </c>
      <c r="H387" s="6">
        <f>Opening+SUM(INDEX(BankTransactions[Net (SAR)],1):BankTransactions[[#This Row],[Net (SAR)]])</f>
        <v>2384482.8100000005</v>
      </c>
    </row>
    <row r="388" spans="1:8" x14ac:dyDescent="0.2">
      <c r="A388" s="5" t="s">
        <v>573</v>
      </c>
      <c r="B388" s="4">
        <v>46123</v>
      </c>
      <c r="C388" s="2" t="s">
        <v>7</v>
      </c>
      <c r="D388" s="12">
        <v>0</v>
      </c>
      <c r="E388" s="13">
        <v>33270.699999999997</v>
      </c>
      <c r="F388" s="19" t="str" cm="1">
        <f t="array" ref="F388">IFERROR(LOOKUP(2^15,SEARCH(CategoryMap[Keyword],BankTransactions[[#This Row],[Description]]),CategoryMap[Category]),"Other")</f>
        <v>Supplier Payments</v>
      </c>
      <c r="G388" s="6">
        <f>BankTransactions[[#This Row],[Credit (SAR)]]-BankTransactions[[#This Row],[Debit (SAR)]]</f>
        <v>-33270.699999999997</v>
      </c>
      <c r="H388" s="6">
        <f>Opening+SUM(INDEX(BankTransactions[Net (SAR)],1):BankTransactions[[#This Row],[Net (SAR)]])</f>
        <v>2351212.1100000003</v>
      </c>
    </row>
    <row r="389" spans="1:8" x14ac:dyDescent="0.2">
      <c r="A389" s="5" t="s">
        <v>574</v>
      </c>
      <c r="B389" s="4">
        <v>46123</v>
      </c>
      <c r="C389" s="2" t="s">
        <v>12</v>
      </c>
      <c r="D389" s="12">
        <v>27705.22</v>
      </c>
      <c r="E389" s="13">
        <v>0</v>
      </c>
      <c r="F389" s="19" t="str" cm="1">
        <f t="array" ref="F389">IFERROR(LOOKUP(2^15,SEARCH(CategoryMap[Keyword],BankTransactions[[#This Row],[Description]]),CategoryMap[Category]),"Other")</f>
        <v>Cash Deposits</v>
      </c>
      <c r="G389" s="6">
        <f>BankTransactions[[#This Row],[Credit (SAR)]]-BankTransactions[[#This Row],[Debit (SAR)]]</f>
        <v>27705.22</v>
      </c>
      <c r="H389" s="6">
        <f>Opening+SUM(INDEX(BankTransactions[Net (SAR)],1):BankTransactions[[#This Row],[Net (SAR)]])</f>
        <v>2378917.33</v>
      </c>
    </row>
    <row r="390" spans="1:8" x14ac:dyDescent="0.2">
      <c r="A390" s="5" t="s">
        <v>575</v>
      </c>
      <c r="B390" s="4">
        <v>46124</v>
      </c>
      <c r="C390" s="2" t="s">
        <v>576</v>
      </c>
      <c r="D390" s="12">
        <v>777.04</v>
      </c>
      <c r="E390" s="13">
        <v>0</v>
      </c>
      <c r="F390" s="19" t="str" cm="1">
        <f t="array" ref="F390">IFERROR(LOOKUP(2^15,SEARCH(CategoryMap[Keyword],BankTransactions[[#This Row],[Description]]),CategoryMap[Category]),"Other")</f>
        <v>Customer Receipts</v>
      </c>
      <c r="G390" s="6">
        <f>BankTransactions[[#This Row],[Credit (SAR)]]-BankTransactions[[#This Row],[Debit (SAR)]]</f>
        <v>777.04</v>
      </c>
      <c r="H390" s="6">
        <f>Opening+SUM(INDEX(BankTransactions[Net (SAR)],1):BankTransactions[[#This Row],[Net (SAR)]])</f>
        <v>2379694.37</v>
      </c>
    </row>
    <row r="391" spans="1:8" x14ac:dyDescent="0.2">
      <c r="A391" s="5" t="s">
        <v>577</v>
      </c>
      <c r="B391" s="4">
        <v>46124</v>
      </c>
      <c r="C391" s="2" t="s">
        <v>578</v>
      </c>
      <c r="D391" s="12">
        <v>42607.3</v>
      </c>
      <c r="E391" s="13">
        <v>0</v>
      </c>
      <c r="F391" s="19" t="str" cm="1">
        <f t="array" ref="F391">IFERROR(LOOKUP(2^15,SEARCH(CategoryMap[Keyword],BankTransactions[[#This Row],[Description]]),CategoryMap[Category]),"Other")</f>
        <v>Customer Receipts</v>
      </c>
      <c r="G391" s="6">
        <f>BankTransactions[[#This Row],[Credit (SAR)]]-BankTransactions[[#This Row],[Debit (SAR)]]</f>
        <v>42607.3</v>
      </c>
      <c r="H391" s="6">
        <f>Opening+SUM(INDEX(BankTransactions[Net (SAR)],1):BankTransactions[[#This Row],[Net (SAR)]])</f>
        <v>2422301.6700000004</v>
      </c>
    </row>
    <row r="392" spans="1:8" x14ac:dyDescent="0.2">
      <c r="A392" s="5" t="s">
        <v>579</v>
      </c>
      <c r="B392" s="4">
        <v>46125</v>
      </c>
      <c r="C392" s="2" t="s">
        <v>580</v>
      </c>
      <c r="D392" s="12">
        <v>14156.76</v>
      </c>
      <c r="E392" s="13">
        <v>0</v>
      </c>
      <c r="F392" s="19" t="str" cm="1">
        <f t="array" ref="F392">IFERROR(LOOKUP(2^15,SEARCH(CategoryMap[Keyword],BankTransactions[[#This Row],[Description]]),CategoryMap[Category]),"Other")</f>
        <v>Customer Receipts</v>
      </c>
      <c r="G392" s="6">
        <f>BankTransactions[[#This Row],[Credit (SAR)]]-BankTransactions[[#This Row],[Debit (SAR)]]</f>
        <v>14156.76</v>
      </c>
      <c r="H392" s="6">
        <f>Opening+SUM(INDEX(BankTransactions[Net (SAR)],1):BankTransactions[[#This Row],[Net (SAR)]])</f>
        <v>2436458.4300000002</v>
      </c>
    </row>
    <row r="393" spans="1:8" x14ac:dyDescent="0.2">
      <c r="A393" s="5" t="s">
        <v>581</v>
      </c>
      <c r="B393" s="4">
        <v>46126</v>
      </c>
      <c r="C393" s="2" t="s">
        <v>207</v>
      </c>
      <c r="D393" s="12">
        <v>13031.99</v>
      </c>
      <c r="E393" s="13">
        <v>0</v>
      </c>
      <c r="F393" s="19" t="str" cm="1">
        <f t="array" ref="F393">IFERROR(LOOKUP(2^15,SEARCH(CategoryMap[Keyword],BankTransactions[[#This Row],[Description]]),CategoryMap[Category]),"Other")</f>
        <v>Customer Receipts</v>
      </c>
      <c r="G393" s="6">
        <f>BankTransactions[[#This Row],[Credit (SAR)]]-BankTransactions[[#This Row],[Debit (SAR)]]</f>
        <v>13031.99</v>
      </c>
      <c r="H393" s="6">
        <f>Opening+SUM(INDEX(BankTransactions[Net (SAR)],1):BankTransactions[[#This Row],[Net (SAR)]])</f>
        <v>2449490.4200000004</v>
      </c>
    </row>
    <row r="394" spans="1:8" x14ac:dyDescent="0.2">
      <c r="A394" s="5" t="s">
        <v>582</v>
      </c>
      <c r="B394" s="4">
        <v>46126</v>
      </c>
      <c r="C394" s="2" t="s">
        <v>3</v>
      </c>
      <c r="D394" s="12">
        <v>0</v>
      </c>
      <c r="E394" s="13">
        <v>14159.2</v>
      </c>
      <c r="F394" s="19" t="str" cm="1">
        <f t="array" ref="F394">IFERROR(LOOKUP(2^15,SEARCH(CategoryMap[Keyword],BankTransactions[[#This Row],[Description]]),CategoryMap[Category]),"Other")</f>
        <v>Supplier Payments</v>
      </c>
      <c r="G394" s="6">
        <f>BankTransactions[[#This Row],[Credit (SAR)]]-BankTransactions[[#This Row],[Debit (SAR)]]</f>
        <v>-14159.2</v>
      </c>
      <c r="H394" s="6">
        <f>Opening+SUM(INDEX(BankTransactions[Net (SAR)],1):BankTransactions[[#This Row],[Net (SAR)]])</f>
        <v>2435331.2200000002</v>
      </c>
    </row>
    <row r="395" spans="1:8" x14ac:dyDescent="0.2">
      <c r="A395" s="5" t="s">
        <v>583</v>
      </c>
      <c r="B395" s="4">
        <v>46126</v>
      </c>
      <c r="C395" s="2" t="s">
        <v>12</v>
      </c>
      <c r="D395" s="12">
        <v>9217.82</v>
      </c>
      <c r="E395" s="13">
        <v>0</v>
      </c>
      <c r="F395" s="19" t="str" cm="1">
        <f t="array" ref="F395">IFERROR(LOOKUP(2^15,SEARCH(CategoryMap[Keyword],BankTransactions[[#This Row],[Description]]),CategoryMap[Category]),"Other")</f>
        <v>Cash Deposits</v>
      </c>
      <c r="G395" s="6">
        <f>BankTransactions[[#This Row],[Credit (SAR)]]-BankTransactions[[#This Row],[Debit (SAR)]]</f>
        <v>9217.82</v>
      </c>
      <c r="H395" s="6">
        <f>Opening+SUM(INDEX(BankTransactions[Net (SAR)],1):BankTransactions[[#This Row],[Net (SAR)]])</f>
        <v>2444549.0400000005</v>
      </c>
    </row>
    <row r="396" spans="1:8" x14ac:dyDescent="0.2">
      <c r="A396" s="5" t="s">
        <v>584</v>
      </c>
      <c r="B396" s="4">
        <v>46126</v>
      </c>
      <c r="C396" s="2" t="s">
        <v>3</v>
      </c>
      <c r="D396" s="12">
        <v>0</v>
      </c>
      <c r="E396" s="13">
        <v>22583.26</v>
      </c>
      <c r="F396" s="19" t="str" cm="1">
        <f t="array" ref="F396">IFERROR(LOOKUP(2^15,SEARCH(CategoryMap[Keyword],BankTransactions[[#This Row],[Description]]),CategoryMap[Category]),"Other")</f>
        <v>Supplier Payments</v>
      </c>
      <c r="G396" s="6">
        <f>BankTransactions[[#This Row],[Credit (SAR)]]-BankTransactions[[#This Row],[Debit (SAR)]]</f>
        <v>-22583.26</v>
      </c>
      <c r="H396" s="6">
        <f>Opening+SUM(INDEX(BankTransactions[Net (SAR)],1):BankTransactions[[#This Row],[Net (SAR)]])</f>
        <v>2421965.7800000003</v>
      </c>
    </row>
    <row r="397" spans="1:8" x14ac:dyDescent="0.2">
      <c r="A397" s="5" t="s">
        <v>585</v>
      </c>
      <c r="B397" s="4">
        <v>46128</v>
      </c>
      <c r="C397" s="2" t="s">
        <v>586</v>
      </c>
      <c r="D397" s="12">
        <v>6593.95</v>
      </c>
      <c r="E397" s="13">
        <v>0</v>
      </c>
      <c r="F397" s="19" t="str" cm="1">
        <f t="array" ref="F397">IFERROR(LOOKUP(2^15,SEARCH(CategoryMap[Keyword],BankTransactions[[#This Row],[Description]]),CategoryMap[Category]),"Other")</f>
        <v>Customer Receipts</v>
      </c>
      <c r="G397" s="6">
        <f>BankTransactions[[#This Row],[Credit (SAR)]]-BankTransactions[[#This Row],[Debit (SAR)]]</f>
        <v>6593.95</v>
      </c>
      <c r="H397" s="6">
        <f>Opening+SUM(INDEX(BankTransactions[Net (SAR)],1):BankTransactions[[#This Row],[Net (SAR)]])</f>
        <v>2428559.7300000004</v>
      </c>
    </row>
    <row r="398" spans="1:8" x14ac:dyDescent="0.2">
      <c r="A398" s="5" t="s">
        <v>587</v>
      </c>
      <c r="B398" s="4">
        <v>46128</v>
      </c>
      <c r="C398" s="2" t="s">
        <v>588</v>
      </c>
      <c r="D398" s="12">
        <v>7868.5</v>
      </c>
      <c r="E398" s="13">
        <v>0</v>
      </c>
      <c r="F398" s="19" t="str" cm="1">
        <f t="array" ref="F398">IFERROR(LOOKUP(2^15,SEARCH(CategoryMap[Keyword],BankTransactions[[#This Row],[Description]]),CategoryMap[Category]),"Other")</f>
        <v>Customer Receipts</v>
      </c>
      <c r="G398" s="6">
        <f>BankTransactions[[#This Row],[Credit (SAR)]]-BankTransactions[[#This Row],[Debit (SAR)]]</f>
        <v>7868.5</v>
      </c>
      <c r="H398" s="6">
        <f>Opening+SUM(INDEX(BankTransactions[Net (SAR)],1):BankTransactions[[#This Row],[Net (SAR)]])</f>
        <v>2436428.2300000004</v>
      </c>
    </row>
    <row r="399" spans="1:8" x14ac:dyDescent="0.2">
      <c r="A399" s="5" t="s">
        <v>589</v>
      </c>
      <c r="B399" s="4">
        <v>46128</v>
      </c>
      <c r="C399" s="2" t="s">
        <v>7</v>
      </c>
      <c r="D399" s="12">
        <v>0</v>
      </c>
      <c r="E399" s="13">
        <v>25266.25</v>
      </c>
      <c r="F399" s="19" t="str" cm="1">
        <f t="array" ref="F399">IFERROR(LOOKUP(2^15,SEARCH(CategoryMap[Keyword],BankTransactions[[#This Row],[Description]]),CategoryMap[Category]),"Other")</f>
        <v>Supplier Payments</v>
      </c>
      <c r="G399" s="6">
        <f>BankTransactions[[#This Row],[Credit (SAR)]]-BankTransactions[[#This Row],[Debit (SAR)]]</f>
        <v>-25266.25</v>
      </c>
      <c r="H399" s="6">
        <f>Opening+SUM(INDEX(BankTransactions[Net (SAR)],1):BankTransactions[[#This Row],[Net (SAR)]])</f>
        <v>2411161.9800000004</v>
      </c>
    </row>
    <row r="400" spans="1:8" x14ac:dyDescent="0.2">
      <c r="A400" s="5" t="s">
        <v>590</v>
      </c>
      <c r="B400" s="4">
        <v>46129</v>
      </c>
      <c r="C400" s="2" t="s">
        <v>591</v>
      </c>
      <c r="D400" s="12">
        <v>5406.7</v>
      </c>
      <c r="E400" s="13">
        <v>0</v>
      </c>
      <c r="F400" s="19" t="str" cm="1">
        <f t="array" ref="F400">IFERROR(LOOKUP(2^15,SEARCH(CategoryMap[Keyword],BankTransactions[[#This Row],[Description]]),CategoryMap[Category]),"Other")</f>
        <v>Customer Receipts</v>
      </c>
      <c r="G400" s="6">
        <f>BankTransactions[[#This Row],[Credit (SAR)]]-BankTransactions[[#This Row],[Debit (SAR)]]</f>
        <v>5406.7</v>
      </c>
      <c r="H400" s="6">
        <f>Opening+SUM(INDEX(BankTransactions[Net (SAR)],1):BankTransactions[[#This Row],[Net (SAR)]])</f>
        <v>2416568.6800000002</v>
      </c>
    </row>
    <row r="401" spans="1:8" x14ac:dyDescent="0.2">
      <c r="A401" s="5" t="s">
        <v>592</v>
      </c>
      <c r="B401" s="4">
        <v>46129</v>
      </c>
      <c r="C401" s="2" t="s">
        <v>140</v>
      </c>
      <c r="D401" s="12">
        <v>4972.6499999999996</v>
      </c>
      <c r="E401" s="13">
        <v>0</v>
      </c>
      <c r="F401" s="19" t="str" cm="1">
        <f t="array" ref="F401">IFERROR(LOOKUP(2^15,SEARCH(CategoryMap[Keyword],BankTransactions[[#This Row],[Description]]),CategoryMap[Category]),"Other")</f>
        <v>Customer Receipts</v>
      </c>
      <c r="G401" s="6">
        <f>BankTransactions[[#This Row],[Credit (SAR)]]-BankTransactions[[#This Row],[Debit (SAR)]]</f>
        <v>4972.6499999999996</v>
      </c>
      <c r="H401" s="6">
        <f>Opening+SUM(INDEX(BankTransactions[Net (SAR)],1):BankTransactions[[#This Row],[Net (SAR)]])</f>
        <v>2421541.33</v>
      </c>
    </row>
    <row r="402" spans="1:8" x14ac:dyDescent="0.2">
      <c r="A402" s="5" t="s">
        <v>593</v>
      </c>
      <c r="B402" s="4">
        <v>46129</v>
      </c>
      <c r="C402" s="2" t="s">
        <v>594</v>
      </c>
      <c r="D402" s="12">
        <v>4814.4799999999996</v>
      </c>
      <c r="E402" s="13">
        <v>0</v>
      </c>
      <c r="F402" s="19" t="str" cm="1">
        <f t="array" ref="F402">IFERROR(LOOKUP(2^15,SEARCH(CategoryMap[Keyword],BankTransactions[[#This Row],[Description]]),CategoryMap[Category]),"Other")</f>
        <v>Customer Receipts</v>
      </c>
      <c r="G402" s="6">
        <f>BankTransactions[[#This Row],[Credit (SAR)]]-BankTransactions[[#This Row],[Debit (SAR)]]</f>
        <v>4814.4799999999996</v>
      </c>
      <c r="H402" s="6">
        <f>Opening+SUM(INDEX(BankTransactions[Net (SAR)],1):BankTransactions[[#This Row],[Net (SAR)]])</f>
        <v>2426355.8100000005</v>
      </c>
    </row>
    <row r="403" spans="1:8" x14ac:dyDescent="0.2">
      <c r="A403" s="5" t="s">
        <v>595</v>
      </c>
      <c r="B403" s="4">
        <v>46129</v>
      </c>
      <c r="C403" s="2" t="s">
        <v>596</v>
      </c>
      <c r="D403" s="12">
        <v>8404.14</v>
      </c>
      <c r="E403" s="13">
        <v>0</v>
      </c>
      <c r="F403" s="19" t="str" cm="1">
        <f t="array" ref="F403">IFERROR(LOOKUP(2^15,SEARCH(CategoryMap[Keyword],BankTransactions[[#This Row],[Description]]),CategoryMap[Category]),"Other")</f>
        <v>Customer Receipts</v>
      </c>
      <c r="G403" s="6">
        <f>BankTransactions[[#This Row],[Credit (SAR)]]-BankTransactions[[#This Row],[Debit (SAR)]]</f>
        <v>8404.14</v>
      </c>
      <c r="H403" s="6">
        <f>Opening+SUM(INDEX(BankTransactions[Net (SAR)],1):BankTransactions[[#This Row],[Net (SAR)]])</f>
        <v>2434759.9500000002</v>
      </c>
    </row>
    <row r="404" spans="1:8" x14ac:dyDescent="0.2">
      <c r="A404" s="5" t="s">
        <v>597</v>
      </c>
      <c r="B404" s="4">
        <v>46130</v>
      </c>
      <c r="C404" s="2" t="s">
        <v>598</v>
      </c>
      <c r="D404" s="12">
        <v>39066.1</v>
      </c>
      <c r="E404" s="13">
        <v>0</v>
      </c>
      <c r="F404" s="19" t="str" cm="1">
        <f t="array" ref="F404">IFERROR(LOOKUP(2^15,SEARCH(CategoryMap[Keyword],BankTransactions[[#This Row],[Description]]),CategoryMap[Category]),"Other")</f>
        <v>Customer Receipts</v>
      </c>
      <c r="G404" s="6">
        <f>BankTransactions[[#This Row],[Credit (SAR)]]-BankTransactions[[#This Row],[Debit (SAR)]]</f>
        <v>39066.1</v>
      </c>
      <c r="H404" s="6">
        <f>Opening+SUM(INDEX(BankTransactions[Net (SAR)],1):BankTransactions[[#This Row],[Net (SAR)]])</f>
        <v>2473826.0500000003</v>
      </c>
    </row>
    <row r="405" spans="1:8" x14ac:dyDescent="0.2">
      <c r="A405" s="5" t="s">
        <v>599</v>
      </c>
      <c r="B405" s="4">
        <v>46130</v>
      </c>
      <c r="C405" s="2" t="s">
        <v>600</v>
      </c>
      <c r="D405" s="12">
        <v>17597.830000000002</v>
      </c>
      <c r="E405" s="13">
        <v>0</v>
      </c>
      <c r="F405" s="19" t="str" cm="1">
        <f t="array" ref="F405">IFERROR(LOOKUP(2^15,SEARCH(CategoryMap[Keyword],BankTransactions[[#This Row],[Description]]),CategoryMap[Category]),"Other")</f>
        <v>Customer Receipts</v>
      </c>
      <c r="G405" s="6">
        <f>BankTransactions[[#This Row],[Credit (SAR)]]-BankTransactions[[#This Row],[Debit (SAR)]]</f>
        <v>17597.830000000002</v>
      </c>
      <c r="H405" s="6">
        <f>Opening+SUM(INDEX(BankTransactions[Net (SAR)],1):BankTransactions[[#This Row],[Net (SAR)]])</f>
        <v>2491423.8800000004</v>
      </c>
    </row>
    <row r="406" spans="1:8" x14ac:dyDescent="0.2">
      <c r="A406" s="5" t="s">
        <v>601</v>
      </c>
      <c r="B406" s="4">
        <v>46130</v>
      </c>
      <c r="C406" s="2" t="s">
        <v>602</v>
      </c>
      <c r="D406" s="12">
        <v>2092.61</v>
      </c>
      <c r="E406" s="13">
        <v>0</v>
      </c>
      <c r="F406" s="19" t="str" cm="1">
        <f t="array" ref="F406">IFERROR(LOOKUP(2^15,SEARCH(CategoryMap[Keyword],BankTransactions[[#This Row],[Description]]),CategoryMap[Category]),"Other")</f>
        <v>Customer Receipts</v>
      </c>
      <c r="G406" s="6">
        <f>BankTransactions[[#This Row],[Credit (SAR)]]-BankTransactions[[#This Row],[Debit (SAR)]]</f>
        <v>2092.61</v>
      </c>
      <c r="H406" s="6">
        <f>Opening+SUM(INDEX(BankTransactions[Net (SAR)],1):BankTransactions[[#This Row],[Net (SAR)]])</f>
        <v>2493516.4900000002</v>
      </c>
    </row>
    <row r="407" spans="1:8" x14ac:dyDescent="0.2">
      <c r="A407" s="5" t="s">
        <v>603</v>
      </c>
      <c r="B407" s="4">
        <v>46130</v>
      </c>
      <c r="C407" s="2" t="s">
        <v>188</v>
      </c>
      <c r="D407" s="12">
        <v>3010.19</v>
      </c>
      <c r="E407" s="13">
        <v>0</v>
      </c>
      <c r="F407" s="19" t="str" cm="1">
        <f t="array" ref="F407">IFERROR(LOOKUP(2^15,SEARCH(CategoryMap[Keyword],BankTransactions[[#This Row],[Description]]),CategoryMap[Category]),"Other")</f>
        <v>Customer Receipts</v>
      </c>
      <c r="G407" s="6">
        <f>BankTransactions[[#This Row],[Credit (SAR)]]-BankTransactions[[#This Row],[Debit (SAR)]]</f>
        <v>3010.19</v>
      </c>
      <c r="H407" s="6">
        <f>Opening+SUM(INDEX(BankTransactions[Net (SAR)],1):BankTransactions[[#This Row],[Net (SAR)]])</f>
        <v>2496526.6800000002</v>
      </c>
    </row>
    <row r="408" spans="1:8" x14ac:dyDescent="0.2">
      <c r="A408" s="5" t="s">
        <v>604</v>
      </c>
      <c r="B408" s="4">
        <v>46131</v>
      </c>
      <c r="C408" s="2" t="s">
        <v>605</v>
      </c>
      <c r="D408" s="12">
        <v>1819.33</v>
      </c>
      <c r="E408" s="13">
        <v>0</v>
      </c>
      <c r="F408" s="19" t="str" cm="1">
        <f t="array" ref="F408">IFERROR(LOOKUP(2^15,SEARCH(CategoryMap[Keyword],BankTransactions[[#This Row],[Description]]),CategoryMap[Category]),"Other")</f>
        <v>Customer Receipts</v>
      </c>
      <c r="G408" s="6">
        <f>BankTransactions[[#This Row],[Credit (SAR)]]-BankTransactions[[#This Row],[Debit (SAR)]]</f>
        <v>1819.33</v>
      </c>
      <c r="H408" s="6">
        <f>Opening+SUM(INDEX(BankTransactions[Net (SAR)],1):BankTransactions[[#This Row],[Net (SAR)]])</f>
        <v>2498346.0100000002</v>
      </c>
    </row>
    <row r="409" spans="1:8" x14ac:dyDescent="0.2">
      <c r="A409" s="5" t="s">
        <v>606</v>
      </c>
      <c r="B409" s="4">
        <v>46131</v>
      </c>
      <c r="C409" s="2" t="s">
        <v>607</v>
      </c>
      <c r="D409" s="12">
        <v>1309.3499999999999</v>
      </c>
      <c r="E409" s="13">
        <v>0</v>
      </c>
      <c r="F409" s="19" t="str" cm="1">
        <f t="array" ref="F409">IFERROR(LOOKUP(2^15,SEARCH(CategoryMap[Keyword],BankTransactions[[#This Row],[Description]]),CategoryMap[Category]),"Other")</f>
        <v>Customer Receipts</v>
      </c>
      <c r="G409" s="6">
        <f>BankTransactions[[#This Row],[Credit (SAR)]]-BankTransactions[[#This Row],[Debit (SAR)]]</f>
        <v>1309.3499999999999</v>
      </c>
      <c r="H409" s="6">
        <f>Opening+SUM(INDEX(BankTransactions[Net (SAR)],1):BankTransactions[[#This Row],[Net (SAR)]])</f>
        <v>2499655.3600000003</v>
      </c>
    </row>
    <row r="410" spans="1:8" x14ac:dyDescent="0.2">
      <c r="A410" s="5" t="s">
        <v>608</v>
      </c>
      <c r="B410" s="4">
        <v>46131</v>
      </c>
      <c r="C410" s="2" t="s">
        <v>609</v>
      </c>
      <c r="D410" s="12">
        <v>5833.31</v>
      </c>
      <c r="E410" s="13">
        <v>0</v>
      </c>
      <c r="F410" s="19" t="str" cm="1">
        <f t="array" ref="F410">IFERROR(LOOKUP(2^15,SEARCH(CategoryMap[Keyword],BankTransactions[[#This Row],[Description]]),CategoryMap[Category]),"Other")</f>
        <v>Customer Receipts</v>
      </c>
      <c r="G410" s="6">
        <f>BankTransactions[[#This Row],[Credit (SAR)]]-BankTransactions[[#This Row],[Debit (SAR)]]</f>
        <v>5833.31</v>
      </c>
      <c r="H410" s="6">
        <f>Opening+SUM(INDEX(BankTransactions[Net (SAR)],1):BankTransactions[[#This Row],[Net (SAR)]])</f>
        <v>2505488.6700000004</v>
      </c>
    </row>
    <row r="411" spans="1:8" x14ac:dyDescent="0.2">
      <c r="A411" s="5" t="s">
        <v>610</v>
      </c>
      <c r="B411" s="4">
        <v>46131</v>
      </c>
      <c r="C411" s="2" t="s">
        <v>611</v>
      </c>
      <c r="D411" s="12">
        <v>2000.7</v>
      </c>
      <c r="E411" s="13">
        <v>0</v>
      </c>
      <c r="F411" s="19" t="str" cm="1">
        <f t="array" ref="F411">IFERROR(LOOKUP(2^15,SEARCH(CategoryMap[Keyword],BankTransactions[[#This Row],[Description]]),CategoryMap[Category]),"Other")</f>
        <v>Customer Receipts</v>
      </c>
      <c r="G411" s="6">
        <f>BankTransactions[[#This Row],[Credit (SAR)]]-BankTransactions[[#This Row],[Debit (SAR)]]</f>
        <v>2000.7</v>
      </c>
      <c r="H411" s="6">
        <f>Opening+SUM(INDEX(BankTransactions[Net (SAR)],1):BankTransactions[[#This Row],[Net (SAR)]])</f>
        <v>2507489.37</v>
      </c>
    </row>
    <row r="412" spans="1:8" x14ac:dyDescent="0.2">
      <c r="A412" s="5" t="s">
        <v>612</v>
      </c>
      <c r="B412" s="4">
        <v>46132</v>
      </c>
      <c r="C412" s="2" t="s">
        <v>333</v>
      </c>
      <c r="D412" s="12">
        <v>1176.31</v>
      </c>
      <c r="E412" s="13">
        <v>0</v>
      </c>
      <c r="F412" s="19" t="str" cm="1">
        <f t="array" ref="F412">IFERROR(LOOKUP(2^15,SEARCH(CategoryMap[Keyword],BankTransactions[[#This Row],[Description]]),CategoryMap[Category]),"Other")</f>
        <v>Customer Receipts</v>
      </c>
      <c r="G412" s="6">
        <f>BankTransactions[[#This Row],[Credit (SAR)]]-BankTransactions[[#This Row],[Debit (SAR)]]</f>
        <v>1176.31</v>
      </c>
      <c r="H412" s="6">
        <f>Opening+SUM(INDEX(BankTransactions[Net (SAR)],1):BankTransactions[[#This Row],[Net (SAR)]])</f>
        <v>2508665.6800000002</v>
      </c>
    </row>
    <row r="413" spans="1:8" x14ac:dyDescent="0.2">
      <c r="A413" s="5" t="s">
        <v>613</v>
      </c>
      <c r="B413" s="4">
        <v>46133</v>
      </c>
      <c r="C413" s="2" t="s">
        <v>614</v>
      </c>
      <c r="D413" s="12">
        <v>5775.21</v>
      </c>
      <c r="E413" s="13">
        <v>0</v>
      </c>
      <c r="F413" s="19" t="str" cm="1">
        <f t="array" ref="F413">IFERROR(LOOKUP(2^15,SEARCH(CategoryMap[Keyword],BankTransactions[[#This Row],[Description]]),CategoryMap[Category]),"Other")</f>
        <v>Customer Receipts</v>
      </c>
      <c r="G413" s="6">
        <f>BankTransactions[[#This Row],[Credit (SAR)]]-BankTransactions[[#This Row],[Debit (SAR)]]</f>
        <v>5775.21</v>
      </c>
      <c r="H413" s="6">
        <f>Opening+SUM(INDEX(BankTransactions[Net (SAR)],1):BankTransactions[[#This Row],[Net (SAR)]])</f>
        <v>2514440.89</v>
      </c>
    </row>
    <row r="414" spans="1:8" x14ac:dyDescent="0.2">
      <c r="A414" s="5" t="s">
        <v>615</v>
      </c>
      <c r="B414" s="4">
        <v>46133</v>
      </c>
      <c r="C414" s="2" t="s">
        <v>140</v>
      </c>
      <c r="D414" s="12">
        <v>3088.2</v>
      </c>
      <c r="E414" s="13">
        <v>0</v>
      </c>
      <c r="F414" s="19" t="str" cm="1">
        <f t="array" ref="F414">IFERROR(LOOKUP(2^15,SEARCH(CategoryMap[Keyword],BankTransactions[[#This Row],[Description]]),CategoryMap[Category]),"Other")</f>
        <v>Customer Receipts</v>
      </c>
      <c r="G414" s="6">
        <f>BankTransactions[[#This Row],[Credit (SAR)]]-BankTransactions[[#This Row],[Debit (SAR)]]</f>
        <v>3088.2</v>
      </c>
      <c r="H414" s="6">
        <f>Opening+SUM(INDEX(BankTransactions[Net (SAR)],1):BankTransactions[[#This Row],[Net (SAR)]])</f>
        <v>2517529.0900000003</v>
      </c>
    </row>
    <row r="415" spans="1:8" x14ac:dyDescent="0.2">
      <c r="A415" s="5" t="s">
        <v>616</v>
      </c>
      <c r="B415" s="4">
        <v>46133</v>
      </c>
      <c r="C415" s="2" t="s">
        <v>3</v>
      </c>
      <c r="D415" s="12">
        <v>0</v>
      </c>
      <c r="E415" s="13">
        <v>0</v>
      </c>
      <c r="F415" s="19" t="str" cm="1">
        <f t="array" ref="F415">IFERROR(LOOKUP(2^15,SEARCH(CategoryMap[Keyword],BankTransactions[[#This Row],[Description]]),CategoryMap[Category]),"Other")</f>
        <v>Supplier Payments</v>
      </c>
      <c r="G415" s="6">
        <f>BankTransactions[[#This Row],[Credit (SAR)]]-BankTransactions[[#This Row],[Debit (SAR)]]</f>
        <v>0</v>
      </c>
      <c r="H415" s="6">
        <f>Opening+SUM(INDEX(BankTransactions[Net (SAR)],1):BankTransactions[[#This Row],[Net (SAR)]])</f>
        <v>2517529.0900000003</v>
      </c>
    </row>
    <row r="416" spans="1:8" x14ac:dyDescent="0.2">
      <c r="A416" s="5" t="s">
        <v>617</v>
      </c>
      <c r="B416" s="4">
        <v>46134</v>
      </c>
      <c r="C416" s="2" t="s">
        <v>618</v>
      </c>
      <c r="D416" s="12">
        <v>29509.09</v>
      </c>
      <c r="E416" s="13">
        <v>0</v>
      </c>
      <c r="F416" s="19" t="str" cm="1">
        <f t="array" ref="F416">IFERROR(LOOKUP(2^15,SEARCH(CategoryMap[Keyword],BankTransactions[[#This Row],[Description]]),CategoryMap[Category]),"Other")</f>
        <v>Customer Receipts</v>
      </c>
      <c r="G416" s="6">
        <f>BankTransactions[[#This Row],[Credit (SAR)]]-BankTransactions[[#This Row],[Debit (SAR)]]</f>
        <v>29509.09</v>
      </c>
      <c r="H416" s="6">
        <f>Opening+SUM(INDEX(BankTransactions[Net (SAR)],1):BankTransactions[[#This Row],[Net (SAR)]])</f>
        <v>2547038.1800000002</v>
      </c>
    </row>
    <row r="417" spans="1:8" x14ac:dyDescent="0.2">
      <c r="A417" s="5" t="s">
        <v>619</v>
      </c>
      <c r="B417" s="4">
        <v>46134</v>
      </c>
      <c r="C417" s="2" t="s">
        <v>186</v>
      </c>
      <c r="D417" s="12">
        <v>2054.11</v>
      </c>
      <c r="E417" s="13">
        <v>0</v>
      </c>
      <c r="F417" s="19" t="str" cm="1">
        <f t="array" ref="F417">IFERROR(LOOKUP(2^15,SEARCH(CategoryMap[Keyword],BankTransactions[[#This Row],[Description]]),CategoryMap[Category]),"Other")</f>
        <v>Customer Receipts</v>
      </c>
      <c r="G417" s="6">
        <f>BankTransactions[[#This Row],[Credit (SAR)]]-BankTransactions[[#This Row],[Debit (SAR)]]</f>
        <v>2054.11</v>
      </c>
      <c r="H417" s="6">
        <f>Opening+SUM(INDEX(BankTransactions[Net (SAR)],1):BankTransactions[[#This Row],[Net (SAR)]])</f>
        <v>2549092.2900000005</v>
      </c>
    </row>
    <row r="418" spans="1:8" x14ac:dyDescent="0.2">
      <c r="A418" s="5" t="s">
        <v>620</v>
      </c>
      <c r="B418" s="4">
        <v>46134</v>
      </c>
      <c r="C418" s="2" t="s">
        <v>621</v>
      </c>
      <c r="D418" s="12">
        <v>22331.7</v>
      </c>
      <c r="E418" s="13">
        <v>0</v>
      </c>
      <c r="F418" s="19" t="str" cm="1">
        <f t="array" ref="F418">IFERROR(LOOKUP(2^15,SEARCH(CategoryMap[Keyword],BankTransactions[[#This Row],[Description]]),CategoryMap[Category]),"Other")</f>
        <v>Customer Receipts</v>
      </c>
      <c r="G418" s="6">
        <f>BankTransactions[[#This Row],[Credit (SAR)]]-BankTransactions[[#This Row],[Debit (SAR)]]</f>
        <v>22331.7</v>
      </c>
      <c r="H418" s="6">
        <f>Opening+SUM(INDEX(BankTransactions[Net (SAR)],1):BankTransactions[[#This Row],[Net (SAR)]])</f>
        <v>2571423.9900000002</v>
      </c>
    </row>
    <row r="419" spans="1:8" x14ac:dyDescent="0.2">
      <c r="A419" s="5" t="s">
        <v>622</v>
      </c>
      <c r="B419" s="4">
        <v>46135</v>
      </c>
      <c r="C419" s="2" t="s">
        <v>623</v>
      </c>
      <c r="D419" s="12">
        <v>3552.51</v>
      </c>
      <c r="E419" s="13">
        <v>0</v>
      </c>
      <c r="F419" s="19" t="str" cm="1">
        <f t="array" ref="F419">IFERROR(LOOKUP(2^15,SEARCH(CategoryMap[Keyword],BankTransactions[[#This Row],[Description]]),CategoryMap[Category]),"Other")</f>
        <v>Customer Receipts</v>
      </c>
      <c r="G419" s="6">
        <f>BankTransactions[[#This Row],[Credit (SAR)]]-BankTransactions[[#This Row],[Debit (SAR)]]</f>
        <v>3552.51</v>
      </c>
      <c r="H419" s="6">
        <f>Opening+SUM(INDEX(BankTransactions[Net (SAR)],1):BankTransactions[[#This Row],[Net (SAR)]])</f>
        <v>2574976.5000000005</v>
      </c>
    </row>
    <row r="420" spans="1:8" x14ac:dyDescent="0.2">
      <c r="A420" s="5" t="s">
        <v>624</v>
      </c>
      <c r="B420" s="4">
        <v>46135</v>
      </c>
      <c r="C420" s="2" t="s">
        <v>625</v>
      </c>
      <c r="D420" s="12">
        <v>30381.94</v>
      </c>
      <c r="E420" s="13">
        <v>0</v>
      </c>
      <c r="F420" s="19" t="str" cm="1">
        <f t="array" ref="F420">IFERROR(LOOKUP(2^15,SEARCH(CategoryMap[Keyword],BankTransactions[[#This Row],[Description]]),CategoryMap[Category]),"Other")</f>
        <v>Customer Receipts</v>
      </c>
      <c r="G420" s="6">
        <f>BankTransactions[[#This Row],[Credit (SAR)]]-BankTransactions[[#This Row],[Debit (SAR)]]</f>
        <v>30381.94</v>
      </c>
      <c r="H420" s="6">
        <f>Opening+SUM(INDEX(BankTransactions[Net (SAR)],1):BankTransactions[[#This Row],[Net (SAR)]])</f>
        <v>2605358.4400000004</v>
      </c>
    </row>
    <row r="421" spans="1:8" x14ac:dyDescent="0.2">
      <c r="A421" s="5" t="s">
        <v>626</v>
      </c>
      <c r="B421" s="4">
        <v>46135</v>
      </c>
      <c r="C421" s="2" t="s">
        <v>627</v>
      </c>
      <c r="D421" s="12">
        <v>1968.98</v>
      </c>
      <c r="E421" s="13">
        <v>0</v>
      </c>
      <c r="F421" s="19" t="str" cm="1">
        <f t="array" ref="F421">IFERROR(LOOKUP(2^15,SEARCH(CategoryMap[Keyword],BankTransactions[[#This Row],[Description]]),CategoryMap[Category]),"Other")</f>
        <v>Customer Receipts</v>
      </c>
      <c r="G421" s="6">
        <f>BankTransactions[[#This Row],[Credit (SAR)]]-BankTransactions[[#This Row],[Debit (SAR)]]</f>
        <v>1968.98</v>
      </c>
      <c r="H421" s="6">
        <f>Opening+SUM(INDEX(BankTransactions[Net (SAR)],1):BankTransactions[[#This Row],[Net (SAR)]])</f>
        <v>2607327.4200000004</v>
      </c>
    </row>
    <row r="422" spans="1:8" x14ac:dyDescent="0.2">
      <c r="A422" s="5" t="s">
        <v>628</v>
      </c>
      <c r="B422" s="4">
        <v>46136</v>
      </c>
      <c r="C422" s="2" t="s">
        <v>7</v>
      </c>
      <c r="D422" s="12">
        <v>0</v>
      </c>
      <c r="E422" s="13">
        <v>34444.29</v>
      </c>
      <c r="F422" s="19" t="str" cm="1">
        <f t="array" ref="F422">IFERROR(LOOKUP(2^15,SEARCH(CategoryMap[Keyword],BankTransactions[[#This Row],[Description]]),CategoryMap[Category]),"Other")</f>
        <v>Supplier Payments</v>
      </c>
      <c r="G422" s="6">
        <f>BankTransactions[[#This Row],[Credit (SAR)]]-BankTransactions[[#This Row],[Debit (SAR)]]</f>
        <v>-34444.29</v>
      </c>
      <c r="H422" s="6">
        <f>Opening+SUM(INDEX(BankTransactions[Net (SAR)],1):BankTransactions[[#This Row],[Net (SAR)]])</f>
        <v>2572883.1300000004</v>
      </c>
    </row>
    <row r="423" spans="1:8" x14ac:dyDescent="0.2">
      <c r="A423" s="5" t="s">
        <v>629</v>
      </c>
      <c r="B423" s="4">
        <v>46137</v>
      </c>
      <c r="C423" s="2" t="s">
        <v>630</v>
      </c>
      <c r="D423" s="12">
        <v>1023.44</v>
      </c>
      <c r="E423" s="13">
        <v>0</v>
      </c>
      <c r="F423" s="19" t="str" cm="1">
        <f t="array" ref="F423">IFERROR(LOOKUP(2^15,SEARCH(CategoryMap[Keyword],BankTransactions[[#This Row],[Description]]),CategoryMap[Category]),"Other")</f>
        <v>Customer Receipts</v>
      </c>
      <c r="G423" s="6">
        <f>BankTransactions[[#This Row],[Credit (SAR)]]-BankTransactions[[#This Row],[Debit (SAR)]]</f>
        <v>1023.44</v>
      </c>
      <c r="H423" s="6">
        <f>Opening+SUM(INDEX(BankTransactions[Net (SAR)],1):BankTransactions[[#This Row],[Net (SAR)]])</f>
        <v>2573906.5700000003</v>
      </c>
    </row>
    <row r="424" spans="1:8" x14ac:dyDescent="0.2">
      <c r="A424" s="5" t="s">
        <v>631</v>
      </c>
      <c r="B424" s="4">
        <v>46137</v>
      </c>
      <c r="C424" s="2" t="s">
        <v>22</v>
      </c>
      <c r="D424" s="12">
        <v>0</v>
      </c>
      <c r="E424" s="13">
        <v>64000</v>
      </c>
      <c r="F424" s="19" t="str" cm="1">
        <f t="array" ref="F424">IFERROR(LOOKUP(2^15,SEARCH(CategoryMap[Keyword],BankTransactions[[#This Row],[Description]]),CategoryMap[Category]),"Other")</f>
        <v>Payroll</v>
      </c>
      <c r="G424" s="6">
        <f>BankTransactions[[#This Row],[Credit (SAR)]]-BankTransactions[[#This Row],[Debit (SAR)]]</f>
        <v>-64000</v>
      </c>
      <c r="H424" s="6">
        <f>Opening+SUM(INDEX(BankTransactions[Net (SAR)],1):BankTransactions[[#This Row],[Net (SAR)]])</f>
        <v>2509906.5700000003</v>
      </c>
    </row>
    <row r="425" spans="1:8" x14ac:dyDescent="0.2">
      <c r="A425" s="5" t="s">
        <v>632</v>
      </c>
      <c r="B425" s="4">
        <v>46137</v>
      </c>
      <c r="C425" s="2" t="s">
        <v>24</v>
      </c>
      <c r="D425" s="12">
        <v>0</v>
      </c>
      <c r="E425" s="13">
        <v>21000</v>
      </c>
      <c r="F425" s="19" t="str" cm="1">
        <f t="array" ref="F425">IFERROR(LOOKUP(2^15,SEARCH(CategoryMap[Keyword],BankTransactions[[#This Row],[Description]]),CategoryMap[Category]),"Other")</f>
        <v>Loan Repayments</v>
      </c>
      <c r="G425" s="6">
        <f>BankTransactions[[#This Row],[Credit (SAR)]]-BankTransactions[[#This Row],[Debit (SAR)]]</f>
        <v>-21000</v>
      </c>
      <c r="H425" s="6">
        <f>Opening+SUM(INDEX(BankTransactions[Net (SAR)],1):BankTransactions[[#This Row],[Net (SAR)]])</f>
        <v>2488906.5700000003</v>
      </c>
    </row>
    <row r="426" spans="1:8" x14ac:dyDescent="0.2">
      <c r="A426" s="5" t="s">
        <v>633</v>
      </c>
      <c r="B426" s="4">
        <v>46137</v>
      </c>
      <c r="C426" s="2" t="s">
        <v>7</v>
      </c>
      <c r="D426" s="12">
        <v>0</v>
      </c>
      <c r="E426" s="13">
        <v>15669.41</v>
      </c>
      <c r="F426" s="19" t="str" cm="1">
        <f t="array" ref="F426">IFERROR(LOOKUP(2^15,SEARCH(CategoryMap[Keyword],BankTransactions[[#This Row],[Description]]),CategoryMap[Category]),"Other")</f>
        <v>Supplier Payments</v>
      </c>
      <c r="G426" s="6">
        <f>BankTransactions[[#This Row],[Credit (SAR)]]-BankTransactions[[#This Row],[Debit (SAR)]]</f>
        <v>-15669.41</v>
      </c>
      <c r="H426" s="6">
        <f>Opening+SUM(INDEX(BankTransactions[Net (SAR)],1):BankTransactions[[#This Row],[Net (SAR)]])</f>
        <v>2473237.16</v>
      </c>
    </row>
    <row r="427" spans="1:8" x14ac:dyDescent="0.2">
      <c r="A427" s="5" t="s">
        <v>634</v>
      </c>
      <c r="B427" s="4">
        <v>46138</v>
      </c>
      <c r="C427" s="2" t="s">
        <v>635</v>
      </c>
      <c r="D427" s="12">
        <v>8265.65</v>
      </c>
      <c r="E427" s="13">
        <v>0</v>
      </c>
      <c r="F427" s="19" t="str" cm="1">
        <f t="array" ref="F427">IFERROR(LOOKUP(2^15,SEARCH(CategoryMap[Keyword],BankTransactions[[#This Row],[Description]]),CategoryMap[Category]),"Other")</f>
        <v>Customer Receipts</v>
      </c>
      <c r="G427" s="6">
        <f>BankTransactions[[#This Row],[Credit (SAR)]]-BankTransactions[[#This Row],[Debit (SAR)]]</f>
        <v>8265.65</v>
      </c>
      <c r="H427" s="6">
        <f>Opening+SUM(INDEX(BankTransactions[Net (SAR)],1):BankTransactions[[#This Row],[Net (SAR)]])</f>
        <v>2481502.8100000005</v>
      </c>
    </row>
    <row r="428" spans="1:8" x14ac:dyDescent="0.2">
      <c r="A428" s="5" t="s">
        <v>636</v>
      </c>
      <c r="B428" s="4">
        <v>46138</v>
      </c>
      <c r="C428" s="2" t="s">
        <v>637</v>
      </c>
      <c r="D428" s="12">
        <v>5831.17</v>
      </c>
      <c r="E428" s="13">
        <v>0</v>
      </c>
      <c r="F428" s="19" t="str" cm="1">
        <f t="array" ref="F428">IFERROR(LOOKUP(2^15,SEARCH(CategoryMap[Keyword],BankTransactions[[#This Row],[Description]]),CategoryMap[Category]),"Other")</f>
        <v>Customer Receipts</v>
      </c>
      <c r="G428" s="6">
        <f>BankTransactions[[#This Row],[Credit (SAR)]]-BankTransactions[[#This Row],[Debit (SAR)]]</f>
        <v>5831.17</v>
      </c>
      <c r="H428" s="6">
        <f>Opening+SUM(INDEX(BankTransactions[Net (SAR)],1):BankTransactions[[#This Row],[Net (SAR)]])</f>
        <v>2487333.9800000004</v>
      </c>
    </row>
    <row r="429" spans="1:8" x14ac:dyDescent="0.2">
      <c r="A429" s="5" t="s">
        <v>638</v>
      </c>
      <c r="B429" s="4">
        <v>46139</v>
      </c>
      <c r="C429" s="2" t="s">
        <v>112</v>
      </c>
      <c r="D429" s="12">
        <v>8694.66</v>
      </c>
      <c r="E429" s="13">
        <v>0</v>
      </c>
      <c r="F429" s="19" t="str" cm="1">
        <f t="array" ref="F429">IFERROR(LOOKUP(2^15,SEARCH(CategoryMap[Keyword],BankTransactions[[#This Row],[Description]]),CategoryMap[Category]),"Other")</f>
        <v>Customer Receipts</v>
      </c>
      <c r="G429" s="6">
        <f>BankTransactions[[#This Row],[Credit (SAR)]]-BankTransactions[[#This Row],[Debit (SAR)]]</f>
        <v>8694.66</v>
      </c>
      <c r="H429" s="6">
        <f>Opening+SUM(INDEX(BankTransactions[Net (SAR)],1):BankTransactions[[#This Row],[Net (SAR)]])</f>
        <v>2496028.64</v>
      </c>
    </row>
    <row r="430" spans="1:8" x14ac:dyDescent="0.2">
      <c r="A430" s="5" t="s">
        <v>639</v>
      </c>
      <c r="B430" s="4">
        <v>46141</v>
      </c>
      <c r="C430" s="2" t="s">
        <v>7</v>
      </c>
      <c r="D430" s="12">
        <v>0</v>
      </c>
      <c r="E430" s="13">
        <v>17758.439999999999</v>
      </c>
      <c r="F430" s="19" t="str" cm="1">
        <f t="array" ref="F430">IFERROR(LOOKUP(2^15,SEARCH(CategoryMap[Keyword],BankTransactions[[#This Row],[Description]]),CategoryMap[Category]),"Other")</f>
        <v>Supplier Payments</v>
      </c>
      <c r="G430" s="6">
        <f>BankTransactions[[#This Row],[Credit (SAR)]]-BankTransactions[[#This Row],[Debit (SAR)]]</f>
        <v>-17758.439999999999</v>
      </c>
      <c r="H430" s="6">
        <f>Opening+SUM(INDEX(BankTransactions[Net (SAR)],1):BankTransactions[[#This Row],[Net (SAR)]])</f>
        <v>2478270.2000000002</v>
      </c>
    </row>
    <row r="431" spans="1:8" x14ac:dyDescent="0.2">
      <c r="A431" s="5" t="s">
        <v>640</v>
      </c>
      <c r="B431" s="4">
        <v>46141</v>
      </c>
      <c r="C431" s="2" t="s">
        <v>12</v>
      </c>
      <c r="D431" s="12">
        <v>9203.35</v>
      </c>
      <c r="E431" s="13">
        <v>0</v>
      </c>
      <c r="F431" s="19" t="str" cm="1">
        <f t="array" ref="F431">IFERROR(LOOKUP(2^15,SEARCH(CategoryMap[Keyword],BankTransactions[[#This Row],[Description]]),CategoryMap[Category]),"Other")</f>
        <v>Cash Deposits</v>
      </c>
      <c r="G431" s="6">
        <f>BankTransactions[[#This Row],[Credit (SAR)]]-BankTransactions[[#This Row],[Debit (SAR)]]</f>
        <v>9203.35</v>
      </c>
      <c r="H431" s="6">
        <f>Opening+SUM(INDEX(BankTransactions[Net (SAR)],1):BankTransactions[[#This Row],[Net (SAR)]])</f>
        <v>2487473.5500000003</v>
      </c>
    </row>
    <row r="432" spans="1:8" x14ac:dyDescent="0.2">
      <c r="A432" s="5" t="s">
        <v>641</v>
      </c>
      <c r="B432" s="4">
        <v>46142</v>
      </c>
      <c r="C432" s="2" t="s">
        <v>391</v>
      </c>
      <c r="D432" s="12">
        <v>10120.459999999999</v>
      </c>
      <c r="E432" s="13">
        <v>0</v>
      </c>
      <c r="F432" s="19" t="str" cm="1">
        <f t="array" ref="F432">IFERROR(LOOKUP(2^15,SEARCH(CategoryMap[Keyword],BankTransactions[[#This Row],[Description]]),CategoryMap[Category]),"Other")</f>
        <v>Customer Receipts</v>
      </c>
      <c r="G432" s="6">
        <f>BankTransactions[[#This Row],[Credit (SAR)]]-BankTransactions[[#This Row],[Debit (SAR)]]</f>
        <v>10120.459999999999</v>
      </c>
      <c r="H432" s="6">
        <f>Opening+SUM(INDEX(BankTransactions[Net (SAR)],1):BankTransactions[[#This Row],[Net (SAR)]])</f>
        <v>2497594.0100000002</v>
      </c>
    </row>
    <row r="433" spans="1:8" x14ac:dyDescent="0.2">
      <c r="A433" s="5" t="s">
        <v>642</v>
      </c>
      <c r="B433" s="4">
        <v>46142</v>
      </c>
      <c r="C433" s="2" t="s">
        <v>10</v>
      </c>
      <c r="D433" s="12">
        <v>0</v>
      </c>
      <c r="E433" s="13">
        <v>17545.32</v>
      </c>
      <c r="F433" s="19" t="str" cm="1">
        <f t="array" ref="F433">IFERROR(LOOKUP(2^15,SEARCH(CategoryMap[Keyword],BankTransactions[[#This Row],[Description]]),CategoryMap[Category]),"Other")</f>
        <v>Fuel &amp; Logistics</v>
      </c>
      <c r="G433" s="6">
        <f>BankTransactions[[#This Row],[Credit (SAR)]]-BankTransactions[[#This Row],[Debit (SAR)]]</f>
        <v>-17545.32</v>
      </c>
      <c r="H433" s="6">
        <f>Opening+SUM(INDEX(BankTransactions[Net (SAR)],1):BankTransactions[[#This Row],[Net (SAR)]])</f>
        <v>2480048.6900000004</v>
      </c>
    </row>
    <row r="434" spans="1:8" x14ac:dyDescent="0.2">
      <c r="A434" s="5" t="s">
        <v>643</v>
      </c>
      <c r="B434" s="4">
        <v>46143</v>
      </c>
      <c r="C434" s="2" t="s">
        <v>644</v>
      </c>
      <c r="D434" s="12">
        <v>1994.39</v>
      </c>
      <c r="E434" s="13">
        <v>0</v>
      </c>
      <c r="F434" s="19" t="str" cm="1">
        <f t="array" ref="F434">IFERROR(LOOKUP(2^15,SEARCH(CategoryMap[Keyword],BankTransactions[[#This Row],[Description]]),CategoryMap[Category]),"Other")</f>
        <v>Customer Receipts</v>
      </c>
      <c r="G434" s="6">
        <f>BankTransactions[[#This Row],[Credit (SAR)]]-BankTransactions[[#This Row],[Debit (SAR)]]</f>
        <v>1994.39</v>
      </c>
      <c r="H434" s="6">
        <f>Opening+SUM(INDEX(BankTransactions[Net (SAR)],1):BankTransactions[[#This Row],[Net (SAR)]])</f>
        <v>2482043.08</v>
      </c>
    </row>
    <row r="435" spans="1:8" x14ac:dyDescent="0.2">
      <c r="A435" s="5" t="s">
        <v>645</v>
      </c>
      <c r="B435" s="4">
        <v>46143</v>
      </c>
      <c r="C435" s="2" t="s">
        <v>646</v>
      </c>
      <c r="D435" s="12">
        <v>1947.51</v>
      </c>
      <c r="E435" s="13">
        <v>0</v>
      </c>
      <c r="F435" s="19" t="str" cm="1">
        <f t="array" ref="F435">IFERROR(LOOKUP(2^15,SEARCH(CategoryMap[Keyword],BankTransactions[[#This Row],[Description]]),CategoryMap[Category]),"Other")</f>
        <v>Customer Receipts</v>
      </c>
      <c r="G435" s="6">
        <f>BankTransactions[[#This Row],[Credit (SAR)]]-BankTransactions[[#This Row],[Debit (SAR)]]</f>
        <v>1947.51</v>
      </c>
      <c r="H435" s="6">
        <f>Opening+SUM(INDEX(BankTransactions[Net (SAR)],1):BankTransactions[[#This Row],[Net (SAR)]])</f>
        <v>2483990.5900000003</v>
      </c>
    </row>
    <row r="436" spans="1:8" x14ac:dyDescent="0.2">
      <c r="A436" s="5" t="s">
        <v>647</v>
      </c>
      <c r="B436" s="4">
        <v>46143</v>
      </c>
      <c r="C436" s="2" t="s">
        <v>648</v>
      </c>
      <c r="D436" s="12">
        <v>18447.97</v>
      </c>
      <c r="E436" s="13">
        <v>0</v>
      </c>
      <c r="F436" s="19" t="str" cm="1">
        <f t="array" ref="F436">IFERROR(LOOKUP(2^15,SEARCH(CategoryMap[Keyword],BankTransactions[[#This Row],[Description]]),CategoryMap[Category]),"Other")</f>
        <v>Customer Receipts</v>
      </c>
      <c r="G436" s="6">
        <f>BankTransactions[[#This Row],[Credit (SAR)]]-BankTransactions[[#This Row],[Debit (SAR)]]</f>
        <v>18447.97</v>
      </c>
      <c r="H436" s="6">
        <f>Opening+SUM(INDEX(BankTransactions[Net (SAR)],1):BankTransactions[[#This Row],[Net (SAR)]])</f>
        <v>2502438.5600000005</v>
      </c>
    </row>
    <row r="437" spans="1:8" x14ac:dyDescent="0.2">
      <c r="A437" s="5" t="s">
        <v>649</v>
      </c>
      <c r="B437" s="4">
        <v>46143</v>
      </c>
      <c r="C437" s="2" t="s">
        <v>1</v>
      </c>
      <c r="D437" s="12">
        <v>0</v>
      </c>
      <c r="E437" s="13">
        <v>38000</v>
      </c>
      <c r="F437" s="19" t="str" cm="1">
        <f t="array" ref="F437">IFERROR(LOOKUP(2^15,SEARCH(CategoryMap[Keyword],BankTransactions[[#This Row],[Description]]),CategoryMap[Category]),"Other")</f>
        <v>Rent</v>
      </c>
      <c r="G437" s="6">
        <f>BankTransactions[[#This Row],[Credit (SAR)]]-BankTransactions[[#This Row],[Debit (SAR)]]</f>
        <v>-38000</v>
      </c>
      <c r="H437" s="6">
        <f>Opening+SUM(INDEX(BankTransactions[Net (SAR)],1):BankTransactions[[#This Row],[Net (SAR)]])</f>
        <v>2464438.5600000005</v>
      </c>
    </row>
    <row r="438" spans="1:8" x14ac:dyDescent="0.2">
      <c r="A438" s="5" t="s">
        <v>650</v>
      </c>
      <c r="B438" s="4">
        <v>46144</v>
      </c>
      <c r="C438" s="2" t="s">
        <v>614</v>
      </c>
      <c r="D438" s="12">
        <v>16312.29</v>
      </c>
      <c r="E438" s="13">
        <v>0</v>
      </c>
      <c r="F438" s="19" t="str" cm="1">
        <f t="array" ref="F438">IFERROR(LOOKUP(2^15,SEARCH(CategoryMap[Keyword],BankTransactions[[#This Row],[Description]]),CategoryMap[Category]),"Other")</f>
        <v>Customer Receipts</v>
      </c>
      <c r="G438" s="6">
        <f>BankTransactions[[#This Row],[Credit (SAR)]]-BankTransactions[[#This Row],[Debit (SAR)]]</f>
        <v>16312.29</v>
      </c>
      <c r="H438" s="6">
        <f>Opening+SUM(INDEX(BankTransactions[Net (SAR)],1):BankTransactions[[#This Row],[Net (SAR)]])</f>
        <v>2480750.85</v>
      </c>
    </row>
    <row r="439" spans="1:8" x14ac:dyDescent="0.2">
      <c r="A439" s="5" t="s">
        <v>651</v>
      </c>
      <c r="B439" s="4">
        <v>46144</v>
      </c>
      <c r="C439" s="2" t="s">
        <v>207</v>
      </c>
      <c r="D439" s="12">
        <v>10835.32</v>
      </c>
      <c r="E439" s="13">
        <v>0</v>
      </c>
      <c r="F439" s="19" t="str" cm="1">
        <f t="array" ref="F439">IFERROR(LOOKUP(2^15,SEARCH(CategoryMap[Keyword],BankTransactions[[#This Row],[Description]]),CategoryMap[Category]),"Other")</f>
        <v>Customer Receipts</v>
      </c>
      <c r="G439" s="6">
        <f>BankTransactions[[#This Row],[Credit (SAR)]]-BankTransactions[[#This Row],[Debit (SAR)]]</f>
        <v>10835.32</v>
      </c>
      <c r="H439" s="6">
        <f>Opening+SUM(INDEX(BankTransactions[Net (SAR)],1):BankTransactions[[#This Row],[Net (SAR)]])</f>
        <v>2491586.1700000004</v>
      </c>
    </row>
    <row r="440" spans="1:8" x14ac:dyDescent="0.2">
      <c r="A440" s="5" t="s">
        <v>652</v>
      </c>
      <c r="B440" s="4">
        <v>46144</v>
      </c>
      <c r="C440" s="2" t="s">
        <v>653</v>
      </c>
      <c r="D440" s="12">
        <v>3815.68</v>
      </c>
      <c r="E440" s="13">
        <v>0</v>
      </c>
      <c r="F440" s="19" t="str" cm="1">
        <f t="array" ref="F440">IFERROR(LOOKUP(2^15,SEARCH(CategoryMap[Keyword],BankTransactions[[#This Row],[Description]]),CategoryMap[Category]),"Other")</f>
        <v>Customer Receipts</v>
      </c>
      <c r="G440" s="6">
        <f>BankTransactions[[#This Row],[Credit (SAR)]]-BankTransactions[[#This Row],[Debit (SAR)]]</f>
        <v>3815.68</v>
      </c>
      <c r="H440" s="6">
        <f>Opening+SUM(INDEX(BankTransactions[Net (SAR)],1):BankTransactions[[#This Row],[Net (SAR)]])</f>
        <v>2495401.85</v>
      </c>
    </row>
    <row r="441" spans="1:8" x14ac:dyDescent="0.2">
      <c r="A441" s="5" t="s">
        <v>654</v>
      </c>
      <c r="B441" s="4">
        <v>46144</v>
      </c>
      <c r="C441" s="2" t="s">
        <v>112</v>
      </c>
      <c r="D441" s="12">
        <v>11484.87</v>
      </c>
      <c r="E441" s="13">
        <v>0</v>
      </c>
      <c r="F441" s="19" t="str" cm="1">
        <f t="array" ref="F441">IFERROR(LOOKUP(2^15,SEARCH(CategoryMap[Keyword],BankTransactions[[#This Row],[Description]]),CategoryMap[Category]),"Other")</f>
        <v>Customer Receipts</v>
      </c>
      <c r="G441" s="6">
        <f>BankTransactions[[#This Row],[Credit (SAR)]]-BankTransactions[[#This Row],[Debit (SAR)]]</f>
        <v>11484.87</v>
      </c>
      <c r="H441" s="6">
        <f>Opening+SUM(INDEX(BankTransactions[Net (SAR)],1):BankTransactions[[#This Row],[Net (SAR)]])</f>
        <v>2506886.7200000002</v>
      </c>
    </row>
    <row r="442" spans="1:8" x14ac:dyDescent="0.2">
      <c r="A442" s="5" t="s">
        <v>655</v>
      </c>
      <c r="B442" s="4">
        <v>46144</v>
      </c>
      <c r="C442" s="2" t="s">
        <v>188</v>
      </c>
      <c r="D442" s="12">
        <v>2260.61</v>
      </c>
      <c r="E442" s="13">
        <v>0</v>
      </c>
      <c r="F442" s="19" t="str" cm="1">
        <f t="array" ref="F442">IFERROR(LOOKUP(2^15,SEARCH(CategoryMap[Keyword],BankTransactions[[#This Row],[Description]]),CategoryMap[Category]),"Other")</f>
        <v>Customer Receipts</v>
      </c>
      <c r="G442" s="6">
        <f>BankTransactions[[#This Row],[Credit (SAR)]]-BankTransactions[[#This Row],[Debit (SAR)]]</f>
        <v>2260.61</v>
      </c>
      <c r="H442" s="6">
        <f>Opening+SUM(INDEX(BankTransactions[Net (SAR)],1):BankTransactions[[#This Row],[Net (SAR)]])</f>
        <v>2509147.33</v>
      </c>
    </row>
    <row r="443" spans="1:8" x14ac:dyDescent="0.2">
      <c r="A443" s="5" t="s">
        <v>656</v>
      </c>
      <c r="B443" s="4">
        <v>46144</v>
      </c>
      <c r="C443" s="2" t="s">
        <v>12</v>
      </c>
      <c r="D443" s="12">
        <v>27532.639999999999</v>
      </c>
      <c r="E443" s="13">
        <v>0</v>
      </c>
      <c r="F443" s="19" t="str" cm="1">
        <f t="array" ref="F443">IFERROR(LOOKUP(2^15,SEARCH(CategoryMap[Keyword],BankTransactions[[#This Row],[Description]]),CategoryMap[Category]),"Other")</f>
        <v>Cash Deposits</v>
      </c>
      <c r="G443" s="6">
        <f>BankTransactions[[#This Row],[Credit (SAR)]]-BankTransactions[[#This Row],[Debit (SAR)]]</f>
        <v>27532.639999999999</v>
      </c>
      <c r="H443" s="6">
        <f>Opening+SUM(INDEX(BankTransactions[Net (SAR)],1):BankTransactions[[#This Row],[Net (SAR)]])</f>
        <v>2536679.9700000002</v>
      </c>
    </row>
    <row r="444" spans="1:8" x14ac:dyDescent="0.2">
      <c r="A444" s="5" t="s">
        <v>657</v>
      </c>
      <c r="B444" s="4">
        <v>46144</v>
      </c>
      <c r="C444" s="2" t="s">
        <v>3</v>
      </c>
      <c r="D444" s="12">
        <v>0</v>
      </c>
      <c r="E444" s="13">
        <v>24237.759999999998</v>
      </c>
      <c r="F444" s="19" t="str" cm="1">
        <f t="array" ref="F444">IFERROR(LOOKUP(2^15,SEARCH(CategoryMap[Keyword],BankTransactions[[#This Row],[Description]]),CategoryMap[Category]),"Other")</f>
        <v>Supplier Payments</v>
      </c>
      <c r="G444" s="6">
        <f>BankTransactions[[#This Row],[Credit (SAR)]]-BankTransactions[[#This Row],[Debit (SAR)]]</f>
        <v>-24237.759999999998</v>
      </c>
      <c r="H444" s="6">
        <f>Opening+SUM(INDEX(BankTransactions[Net (SAR)],1):BankTransactions[[#This Row],[Net (SAR)]])</f>
        <v>2512442.2100000004</v>
      </c>
    </row>
    <row r="445" spans="1:8" x14ac:dyDescent="0.2">
      <c r="A445" s="5" t="s">
        <v>658</v>
      </c>
      <c r="B445" s="4">
        <v>46145</v>
      </c>
      <c r="C445" s="2" t="s">
        <v>97</v>
      </c>
      <c r="D445" s="12">
        <v>2923.69</v>
      </c>
      <c r="E445" s="13">
        <v>0</v>
      </c>
      <c r="F445" s="19" t="str" cm="1">
        <f t="array" ref="F445">IFERROR(LOOKUP(2^15,SEARCH(CategoryMap[Keyword],BankTransactions[[#This Row],[Description]]),CategoryMap[Category]),"Other")</f>
        <v>Customer Receipts</v>
      </c>
      <c r="G445" s="6">
        <f>BankTransactions[[#This Row],[Credit (SAR)]]-BankTransactions[[#This Row],[Debit (SAR)]]</f>
        <v>2923.69</v>
      </c>
      <c r="H445" s="6">
        <f>Opening+SUM(INDEX(BankTransactions[Net (SAR)],1):BankTransactions[[#This Row],[Net (SAR)]])</f>
        <v>2515365.9000000004</v>
      </c>
    </row>
    <row r="446" spans="1:8" x14ac:dyDescent="0.2">
      <c r="A446" s="5" t="s">
        <v>659</v>
      </c>
      <c r="B446" s="4">
        <v>46145</v>
      </c>
      <c r="C446" s="2" t="s">
        <v>660</v>
      </c>
      <c r="D446" s="12">
        <v>8457.82</v>
      </c>
      <c r="E446" s="13">
        <v>0</v>
      </c>
      <c r="F446" s="19" t="str" cm="1">
        <f t="array" ref="F446">IFERROR(LOOKUP(2^15,SEARCH(CategoryMap[Keyword],BankTransactions[[#This Row],[Description]]),CategoryMap[Category]),"Other")</f>
        <v>Customer Receipts</v>
      </c>
      <c r="G446" s="6">
        <f>BankTransactions[[#This Row],[Credit (SAR)]]-BankTransactions[[#This Row],[Debit (SAR)]]</f>
        <v>8457.82</v>
      </c>
      <c r="H446" s="6">
        <f>Opening+SUM(INDEX(BankTransactions[Net (SAR)],1):BankTransactions[[#This Row],[Net (SAR)]])</f>
        <v>2523823.7200000002</v>
      </c>
    </row>
    <row r="447" spans="1:8" x14ac:dyDescent="0.2">
      <c r="A447" s="5" t="s">
        <v>661</v>
      </c>
      <c r="B447" s="4">
        <v>46145</v>
      </c>
      <c r="C447" s="2" t="s">
        <v>662</v>
      </c>
      <c r="D447" s="12">
        <v>2384.33</v>
      </c>
      <c r="E447" s="13">
        <v>0</v>
      </c>
      <c r="F447" s="19" t="str" cm="1">
        <f t="array" ref="F447">IFERROR(LOOKUP(2^15,SEARCH(CategoryMap[Keyword],BankTransactions[[#This Row],[Description]]),CategoryMap[Category]),"Other")</f>
        <v>Customer Receipts</v>
      </c>
      <c r="G447" s="6">
        <f>BankTransactions[[#This Row],[Credit (SAR)]]-BankTransactions[[#This Row],[Debit (SAR)]]</f>
        <v>2384.33</v>
      </c>
      <c r="H447" s="6">
        <f>Opening+SUM(INDEX(BankTransactions[Net (SAR)],1):BankTransactions[[#This Row],[Net (SAR)]])</f>
        <v>2526208.0500000003</v>
      </c>
    </row>
    <row r="448" spans="1:8" x14ac:dyDescent="0.2">
      <c r="A448" s="5" t="s">
        <v>663</v>
      </c>
      <c r="B448" s="4">
        <v>46145</v>
      </c>
      <c r="C448" s="2" t="s">
        <v>664</v>
      </c>
      <c r="D448" s="12">
        <v>9895.41</v>
      </c>
      <c r="E448" s="13">
        <v>0</v>
      </c>
      <c r="F448" s="19" t="str" cm="1">
        <f t="array" ref="F448">IFERROR(LOOKUP(2^15,SEARCH(CategoryMap[Keyword],BankTransactions[[#This Row],[Description]]),CategoryMap[Category]),"Other")</f>
        <v>Customer Receipts</v>
      </c>
      <c r="G448" s="6">
        <f>BankTransactions[[#This Row],[Credit (SAR)]]-BankTransactions[[#This Row],[Debit (SAR)]]</f>
        <v>9895.41</v>
      </c>
      <c r="H448" s="6">
        <f>Opening+SUM(INDEX(BankTransactions[Net (SAR)],1):BankTransactions[[#This Row],[Net (SAR)]])</f>
        <v>2536103.4600000004</v>
      </c>
    </row>
    <row r="449" spans="1:8" x14ac:dyDescent="0.2">
      <c r="A449" s="5" t="s">
        <v>665</v>
      </c>
      <c r="B449" s="4">
        <v>46145</v>
      </c>
      <c r="C449" s="2" t="s">
        <v>666</v>
      </c>
      <c r="D449" s="12">
        <v>20011.22</v>
      </c>
      <c r="E449" s="13">
        <v>0</v>
      </c>
      <c r="F449" s="19" t="str" cm="1">
        <f t="array" ref="F449">IFERROR(LOOKUP(2^15,SEARCH(CategoryMap[Keyword],BankTransactions[[#This Row],[Description]]),CategoryMap[Category]),"Other")</f>
        <v>Customer Receipts</v>
      </c>
      <c r="G449" s="6">
        <f>BankTransactions[[#This Row],[Credit (SAR)]]-BankTransactions[[#This Row],[Debit (SAR)]]</f>
        <v>20011.22</v>
      </c>
      <c r="H449" s="6">
        <f>Opening+SUM(INDEX(BankTransactions[Net (SAR)],1):BankTransactions[[#This Row],[Net (SAR)]])</f>
        <v>2556114.6800000002</v>
      </c>
    </row>
    <row r="450" spans="1:8" x14ac:dyDescent="0.2">
      <c r="A450" s="5" t="s">
        <v>667</v>
      </c>
      <c r="B450" s="4">
        <v>46147</v>
      </c>
      <c r="C450" s="2" t="s">
        <v>171</v>
      </c>
      <c r="D450" s="12">
        <v>3986.98</v>
      </c>
      <c r="E450" s="13">
        <v>0</v>
      </c>
      <c r="F450" s="19" t="str" cm="1">
        <f t="array" ref="F450">IFERROR(LOOKUP(2^15,SEARCH(CategoryMap[Keyword],BankTransactions[[#This Row],[Description]]),CategoryMap[Category]),"Other")</f>
        <v>Customer Receipts</v>
      </c>
      <c r="G450" s="6">
        <f>BankTransactions[[#This Row],[Credit (SAR)]]-BankTransactions[[#This Row],[Debit (SAR)]]</f>
        <v>3986.98</v>
      </c>
      <c r="H450" s="6">
        <f>Opening+SUM(INDEX(BankTransactions[Net (SAR)],1):BankTransactions[[#This Row],[Net (SAR)]])</f>
        <v>2560101.66</v>
      </c>
    </row>
    <row r="451" spans="1:8" x14ac:dyDescent="0.2">
      <c r="A451" s="5" t="s">
        <v>668</v>
      </c>
      <c r="B451" s="4">
        <v>46147</v>
      </c>
      <c r="C451" s="2" t="s">
        <v>669</v>
      </c>
      <c r="D451" s="12">
        <v>13150.3</v>
      </c>
      <c r="E451" s="13">
        <v>0</v>
      </c>
      <c r="F451" s="19" t="str" cm="1">
        <f t="array" ref="F451">IFERROR(LOOKUP(2^15,SEARCH(CategoryMap[Keyword],BankTransactions[[#This Row],[Description]]),CategoryMap[Category]),"Other")</f>
        <v>Customer Receipts</v>
      </c>
      <c r="G451" s="6">
        <f>BankTransactions[[#This Row],[Credit (SAR)]]-BankTransactions[[#This Row],[Debit (SAR)]]</f>
        <v>13150.3</v>
      </c>
      <c r="H451" s="6">
        <f>Opening+SUM(INDEX(BankTransactions[Net (SAR)],1):BankTransactions[[#This Row],[Net (SAR)]])</f>
        <v>2573251.9600000004</v>
      </c>
    </row>
    <row r="452" spans="1:8" x14ac:dyDescent="0.2">
      <c r="A452" s="5" t="s">
        <v>670</v>
      </c>
      <c r="B452" s="4">
        <v>46147</v>
      </c>
      <c r="C452" s="2" t="s">
        <v>671</v>
      </c>
      <c r="D452" s="12">
        <v>3889.52</v>
      </c>
      <c r="E452" s="13">
        <v>0</v>
      </c>
      <c r="F452" s="19" t="str" cm="1">
        <f t="array" ref="F452">IFERROR(LOOKUP(2^15,SEARCH(CategoryMap[Keyword],BankTransactions[[#This Row],[Description]]),CategoryMap[Category]),"Other")</f>
        <v>Customer Receipts</v>
      </c>
      <c r="G452" s="6">
        <f>BankTransactions[[#This Row],[Credit (SAR)]]-BankTransactions[[#This Row],[Debit (SAR)]]</f>
        <v>3889.52</v>
      </c>
      <c r="H452" s="6">
        <f>Opening+SUM(INDEX(BankTransactions[Net (SAR)],1):BankTransactions[[#This Row],[Net (SAR)]])</f>
        <v>2577141.4800000004</v>
      </c>
    </row>
    <row r="453" spans="1:8" x14ac:dyDescent="0.2">
      <c r="A453" s="5" t="s">
        <v>672</v>
      </c>
      <c r="B453" s="4">
        <v>46147</v>
      </c>
      <c r="C453" s="2" t="s">
        <v>3</v>
      </c>
      <c r="D453" s="12">
        <v>0</v>
      </c>
      <c r="E453" s="13">
        <v>36567.47</v>
      </c>
      <c r="F453" s="19" t="str" cm="1">
        <f t="array" ref="F453">IFERROR(LOOKUP(2^15,SEARCH(CategoryMap[Keyword],BankTransactions[[#This Row],[Description]]),CategoryMap[Category]),"Other")</f>
        <v>Supplier Payments</v>
      </c>
      <c r="G453" s="6">
        <f>BankTransactions[[#This Row],[Credit (SAR)]]-BankTransactions[[#This Row],[Debit (SAR)]]</f>
        <v>-36567.47</v>
      </c>
      <c r="H453" s="6">
        <f>Opening+SUM(INDEX(BankTransactions[Net (SAR)],1):BankTransactions[[#This Row],[Net (SAR)]])</f>
        <v>2540574.0100000002</v>
      </c>
    </row>
    <row r="454" spans="1:8" x14ac:dyDescent="0.2">
      <c r="A454" s="5" t="s">
        <v>673</v>
      </c>
      <c r="B454" s="4">
        <v>46148</v>
      </c>
      <c r="C454" s="2" t="s">
        <v>674</v>
      </c>
      <c r="D454" s="12">
        <v>12107.2</v>
      </c>
      <c r="E454" s="13">
        <v>0</v>
      </c>
      <c r="F454" s="19" t="str" cm="1">
        <f t="array" ref="F454">IFERROR(LOOKUP(2^15,SEARCH(CategoryMap[Keyword],BankTransactions[[#This Row],[Description]]),CategoryMap[Category]),"Other")</f>
        <v>Customer Receipts</v>
      </c>
      <c r="G454" s="6">
        <f>BankTransactions[[#This Row],[Credit (SAR)]]-BankTransactions[[#This Row],[Debit (SAR)]]</f>
        <v>12107.2</v>
      </c>
      <c r="H454" s="6">
        <f>Opening+SUM(INDEX(BankTransactions[Net (SAR)],1):BankTransactions[[#This Row],[Net (SAR)]])</f>
        <v>2552681.2100000004</v>
      </c>
    </row>
    <row r="455" spans="1:8" x14ac:dyDescent="0.2">
      <c r="A455" s="5" t="s">
        <v>675</v>
      </c>
      <c r="B455" s="4">
        <v>46148</v>
      </c>
      <c r="C455" s="2" t="s">
        <v>3</v>
      </c>
      <c r="D455" s="12">
        <v>0</v>
      </c>
      <c r="E455" s="13">
        <v>8933.06</v>
      </c>
      <c r="F455" s="19" t="str" cm="1">
        <f t="array" ref="F455">IFERROR(LOOKUP(2^15,SEARCH(CategoryMap[Keyword],BankTransactions[[#This Row],[Description]]),CategoryMap[Category]),"Other")</f>
        <v>Supplier Payments</v>
      </c>
      <c r="G455" s="6">
        <f>BankTransactions[[#This Row],[Credit (SAR)]]-BankTransactions[[#This Row],[Debit (SAR)]]</f>
        <v>-8933.06</v>
      </c>
      <c r="H455" s="6">
        <f>Opening+SUM(INDEX(BankTransactions[Net (SAR)],1):BankTransactions[[#This Row],[Net (SAR)]])</f>
        <v>2543748.1500000004</v>
      </c>
    </row>
    <row r="456" spans="1:8" x14ac:dyDescent="0.2">
      <c r="A456" s="5" t="s">
        <v>676</v>
      </c>
      <c r="B456" s="4">
        <v>46149</v>
      </c>
      <c r="C456" s="2" t="s">
        <v>677</v>
      </c>
      <c r="D456" s="12">
        <v>4470.1400000000003</v>
      </c>
      <c r="E456" s="13">
        <v>0</v>
      </c>
      <c r="F456" s="19" t="str" cm="1">
        <f t="array" ref="F456">IFERROR(LOOKUP(2^15,SEARCH(CategoryMap[Keyword],BankTransactions[[#This Row],[Description]]),CategoryMap[Category]),"Other")</f>
        <v>Customer Receipts</v>
      </c>
      <c r="G456" s="6">
        <f>BankTransactions[[#This Row],[Credit (SAR)]]-BankTransactions[[#This Row],[Debit (SAR)]]</f>
        <v>4470.1400000000003</v>
      </c>
      <c r="H456" s="6">
        <f>Opening+SUM(INDEX(BankTransactions[Net (SAR)],1):BankTransactions[[#This Row],[Net (SAR)]])</f>
        <v>2548218.2900000005</v>
      </c>
    </row>
    <row r="457" spans="1:8" x14ac:dyDescent="0.2">
      <c r="A457" s="5" t="s">
        <v>678</v>
      </c>
      <c r="B457" s="4">
        <v>46150</v>
      </c>
      <c r="C457" s="2" t="s">
        <v>679</v>
      </c>
      <c r="D457" s="12">
        <v>1242.3699999999999</v>
      </c>
      <c r="E457" s="13">
        <v>0</v>
      </c>
      <c r="F457" s="19" t="str" cm="1">
        <f t="array" ref="F457">IFERROR(LOOKUP(2^15,SEARCH(CategoryMap[Keyword],BankTransactions[[#This Row],[Description]]),CategoryMap[Category]),"Other")</f>
        <v>Customer Receipts</v>
      </c>
      <c r="G457" s="6">
        <f>BankTransactions[[#This Row],[Credit (SAR)]]-BankTransactions[[#This Row],[Debit (SAR)]]</f>
        <v>1242.3699999999999</v>
      </c>
      <c r="H457" s="6">
        <f>Opening+SUM(INDEX(BankTransactions[Net (SAR)],1):BankTransactions[[#This Row],[Net (SAR)]])</f>
        <v>2549460.66</v>
      </c>
    </row>
    <row r="458" spans="1:8" x14ac:dyDescent="0.2">
      <c r="A458" s="5" t="s">
        <v>680</v>
      </c>
      <c r="B458" s="4">
        <v>46150</v>
      </c>
      <c r="C458" s="2" t="s">
        <v>681</v>
      </c>
      <c r="D458" s="12">
        <v>8241.2099999999991</v>
      </c>
      <c r="E458" s="13">
        <v>0</v>
      </c>
      <c r="F458" s="19" t="str" cm="1">
        <f t="array" ref="F458">IFERROR(LOOKUP(2^15,SEARCH(CategoryMap[Keyword],BankTransactions[[#This Row],[Description]]),CategoryMap[Category]),"Other")</f>
        <v>Customer Receipts</v>
      </c>
      <c r="G458" s="6">
        <f>BankTransactions[[#This Row],[Credit (SAR)]]-BankTransactions[[#This Row],[Debit (SAR)]]</f>
        <v>8241.2099999999991</v>
      </c>
      <c r="H458" s="6">
        <f>Opening+SUM(INDEX(BankTransactions[Net (SAR)],1):BankTransactions[[#This Row],[Net (SAR)]])</f>
        <v>2557701.87</v>
      </c>
    </row>
    <row r="459" spans="1:8" x14ac:dyDescent="0.2">
      <c r="A459" s="5" t="s">
        <v>682</v>
      </c>
      <c r="B459" s="4">
        <v>46151</v>
      </c>
      <c r="C459" s="2" t="s">
        <v>683</v>
      </c>
      <c r="D459" s="12">
        <v>4630.43</v>
      </c>
      <c r="E459" s="13">
        <v>0</v>
      </c>
      <c r="F459" s="19" t="str" cm="1">
        <f t="array" ref="F459">IFERROR(LOOKUP(2^15,SEARCH(CategoryMap[Keyword],BankTransactions[[#This Row],[Description]]),CategoryMap[Category]),"Other")</f>
        <v>Customer Receipts</v>
      </c>
      <c r="G459" s="6">
        <f>BankTransactions[[#This Row],[Credit (SAR)]]-BankTransactions[[#This Row],[Debit (SAR)]]</f>
        <v>4630.43</v>
      </c>
      <c r="H459" s="6">
        <f>Opening+SUM(INDEX(BankTransactions[Net (SAR)],1):BankTransactions[[#This Row],[Net (SAR)]])</f>
        <v>2562332.3000000003</v>
      </c>
    </row>
    <row r="460" spans="1:8" x14ac:dyDescent="0.2">
      <c r="A460" s="5" t="s">
        <v>684</v>
      </c>
      <c r="B460" s="4">
        <v>46151</v>
      </c>
      <c r="C460" s="2" t="s">
        <v>685</v>
      </c>
      <c r="D460" s="12">
        <v>8961.1200000000008</v>
      </c>
      <c r="E460" s="13">
        <v>0</v>
      </c>
      <c r="F460" s="19" t="str" cm="1">
        <f t="array" ref="F460">IFERROR(LOOKUP(2^15,SEARCH(CategoryMap[Keyword],BankTransactions[[#This Row],[Description]]),CategoryMap[Category]),"Other")</f>
        <v>Customer Receipts</v>
      </c>
      <c r="G460" s="6">
        <f>BankTransactions[[#This Row],[Credit (SAR)]]-BankTransactions[[#This Row],[Debit (SAR)]]</f>
        <v>8961.1200000000008</v>
      </c>
      <c r="H460" s="6">
        <f>Opening+SUM(INDEX(BankTransactions[Net (SAR)],1):BankTransactions[[#This Row],[Net (SAR)]])</f>
        <v>2571293.4200000004</v>
      </c>
    </row>
    <row r="461" spans="1:8" x14ac:dyDescent="0.2">
      <c r="A461" s="5" t="s">
        <v>686</v>
      </c>
      <c r="B461" s="4">
        <v>46151</v>
      </c>
      <c r="C461" s="2" t="s">
        <v>7</v>
      </c>
      <c r="D461" s="12">
        <v>0</v>
      </c>
      <c r="E461" s="13">
        <v>8605.15</v>
      </c>
      <c r="F461" s="19" t="str" cm="1">
        <f t="array" ref="F461">IFERROR(LOOKUP(2^15,SEARCH(CategoryMap[Keyword],BankTransactions[[#This Row],[Description]]),CategoryMap[Category]),"Other")</f>
        <v>Supplier Payments</v>
      </c>
      <c r="G461" s="6">
        <f>BankTransactions[[#This Row],[Credit (SAR)]]-BankTransactions[[#This Row],[Debit (SAR)]]</f>
        <v>-8605.15</v>
      </c>
      <c r="H461" s="6">
        <f>Opening+SUM(INDEX(BankTransactions[Net (SAR)],1):BankTransactions[[#This Row],[Net (SAR)]])</f>
        <v>2562688.2700000005</v>
      </c>
    </row>
    <row r="462" spans="1:8" x14ac:dyDescent="0.2">
      <c r="A462" s="5" t="s">
        <v>687</v>
      </c>
      <c r="B462" s="4">
        <v>46153</v>
      </c>
      <c r="C462" s="2" t="s">
        <v>688</v>
      </c>
      <c r="D462" s="12">
        <v>5633.72</v>
      </c>
      <c r="E462" s="13">
        <v>0</v>
      </c>
      <c r="F462" s="19" t="str" cm="1">
        <f t="array" ref="F462">IFERROR(LOOKUP(2^15,SEARCH(CategoryMap[Keyword],BankTransactions[[#This Row],[Description]]),CategoryMap[Category]),"Other")</f>
        <v>Customer Receipts</v>
      </c>
      <c r="G462" s="6">
        <f>BankTransactions[[#This Row],[Credit (SAR)]]-BankTransactions[[#This Row],[Debit (SAR)]]</f>
        <v>5633.72</v>
      </c>
      <c r="H462" s="6">
        <f>Opening+SUM(INDEX(BankTransactions[Net (SAR)],1):BankTransactions[[#This Row],[Net (SAR)]])</f>
        <v>2568321.9900000002</v>
      </c>
    </row>
    <row r="463" spans="1:8" x14ac:dyDescent="0.2">
      <c r="A463" s="5" t="s">
        <v>689</v>
      </c>
      <c r="B463" s="4">
        <v>46153</v>
      </c>
      <c r="C463" s="2" t="s">
        <v>690</v>
      </c>
      <c r="D463" s="12">
        <v>9475.26</v>
      </c>
      <c r="E463" s="13">
        <v>0</v>
      </c>
      <c r="F463" s="19" t="str" cm="1">
        <f t="array" ref="F463">IFERROR(LOOKUP(2^15,SEARCH(CategoryMap[Keyword],BankTransactions[[#This Row],[Description]]),CategoryMap[Category]),"Other")</f>
        <v>Customer Receipts</v>
      </c>
      <c r="G463" s="6">
        <f>BankTransactions[[#This Row],[Credit (SAR)]]-BankTransactions[[#This Row],[Debit (SAR)]]</f>
        <v>9475.26</v>
      </c>
      <c r="H463" s="6">
        <f>Opening+SUM(INDEX(BankTransactions[Net (SAR)],1):BankTransactions[[#This Row],[Net (SAR)]])</f>
        <v>2577797.2500000005</v>
      </c>
    </row>
    <row r="464" spans="1:8" x14ac:dyDescent="0.2">
      <c r="A464" s="5" t="s">
        <v>691</v>
      </c>
      <c r="B464" s="4">
        <v>46153</v>
      </c>
      <c r="C464" s="2" t="s">
        <v>112</v>
      </c>
      <c r="D464" s="12">
        <v>5940.39</v>
      </c>
      <c r="E464" s="13">
        <v>0</v>
      </c>
      <c r="F464" s="19" t="str" cm="1">
        <f t="array" ref="F464">IFERROR(LOOKUP(2^15,SEARCH(CategoryMap[Keyword],BankTransactions[[#This Row],[Description]]),CategoryMap[Category]),"Other")</f>
        <v>Customer Receipts</v>
      </c>
      <c r="G464" s="6">
        <f>BankTransactions[[#This Row],[Credit (SAR)]]-BankTransactions[[#This Row],[Debit (SAR)]]</f>
        <v>5940.39</v>
      </c>
      <c r="H464" s="6">
        <f>Opening+SUM(INDEX(BankTransactions[Net (SAR)],1):BankTransactions[[#This Row],[Net (SAR)]])</f>
        <v>2583737.64</v>
      </c>
    </row>
    <row r="465" spans="1:8" x14ac:dyDescent="0.2">
      <c r="A465" s="5" t="s">
        <v>692</v>
      </c>
      <c r="B465" s="4">
        <v>46153</v>
      </c>
      <c r="C465" s="2" t="s">
        <v>12</v>
      </c>
      <c r="D465" s="12">
        <v>12299.96</v>
      </c>
      <c r="E465" s="13">
        <v>0</v>
      </c>
      <c r="F465" s="19" t="str" cm="1">
        <f t="array" ref="F465">IFERROR(LOOKUP(2^15,SEARCH(CategoryMap[Keyword],BankTransactions[[#This Row],[Description]]),CategoryMap[Category]),"Other")</f>
        <v>Cash Deposits</v>
      </c>
      <c r="G465" s="6">
        <f>BankTransactions[[#This Row],[Credit (SAR)]]-BankTransactions[[#This Row],[Debit (SAR)]]</f>
        <v>12299.96</v>
      </c>
      <c r="H465" s="6">
        <f>Opening+SUM(INDEX(BankTransactions[Net (SAR)],1):BankTransactions[[#This Row],[Net (SAR)]])</f>
        <v>2596037.6</v>
      </c>
    </row>
    <row r="466" spans="1:8" x14ac:dyDescent="0.2">
      <c r="A466" s="5" t="s">
        <v>693</v>
      </c>
      <c r="B466" s="4">
        <v>46154</v>
      </c>
      <c r="C466" s="2" t="s">
        <v>694</v>
      </c>
      <c r="D466" s="12">
        <v>11737.1</v>
      </c>
      <c r="E466" s="13">
        <v>0</v>
      </c>
      <c r="F466" s="19" t="str" cm="1">
        <f t="array" ref="F466">IFERROR(LOOKUP(2^15,SEARCH(CategoryMap[Keyword],BankTransactions[[#This Row],[Description]]),CategoryMap[Category]),"Other")</f>
        <v>Customer Receipts</v>
      </c>
      <c r="G466" s="6">
        <f>BankTransactions[[#This Row],[Credit (SAR)]]-BankTransactions[[#This Row],[Debit (SAR)]]</f>
        <v>11737.1</v>
      </c>
      <c r="H466" s="6">
        <f>Opening+SUM(INDEX(BankTransactions[Net (SAR)],1):BankTransactions[[#This Row],[Net (SAR)]])</f>
        <v>2607774.7000000002</v>
      </c>
    </row>
    <row r="467" spans="1:8" x14ac:dyDescent="0.2">
      <c r="A467" s="5" t="s">
        <v>695</v>
      </c>
      <c r="B467" s="4">
        <v>46154</v>
      </c>
      <c r="C467" s="2" t="s">
        <v>696</v>
      </c>
      <c r="D467" s="12">
        <v>18808.97</v>
      </c>
      <c r="E467" s="13">
        <v>0</v>
      </c>
      <c r="F467" s="19" t="str" cm="1">
        <f t="array" ref="F467">IFERROR(LOOKUP(2^15,SEARCH(CategoryMap[Keyword],BankTransactions[[#This Row],[Description]]),CategoryMap[Category]),"Other")</f>
        <v>Customer Receipts</v>
      </c>
      <c r="G467" s="6">
        <f>BankTransactions[[#This Row],[Credit (SAR)]]-BankTransactions[[#This Row],[Debit (SAR)]]</f>
        <v>18808.97</v>
      </c>
      <c r="H467" s="6">
        <f>Opening+SUM(INDEX(BankTransactions[Net (SAR)],1):BankTransactions[[#This Row],[Net (SAR)]])</f>
        <v>2626583.6700000004</v>
      </c>
    </row>
    <row r="468" spans="1:8" x14ac:dyDescent="0.2">
      <c r="A468" s="5" t="s">
        <v>697</v>
      </c>
      <c r="B468" s="4">
        <v>46154</v>
      </c>
      <c r="C468" s="2" t="s">
        <v>7</v>
      </c>
      <c r="D468" s="12">
        <v>0</v>
      </c>
      <c r="E468" s="13">
        <v>35197.53</v>
      </c>
      <c r="F468" s="19" t="str" cm="1">
        <f t="array" ref="F468">IFERROR(LOOKUP(2^15,SEARCH(CategoryMap[Keyword],BankTransactions[[#This Row],[Description]]),CategoryMap[Category]),"Other")</f>
        <v>Supplier Payments</v>
      </c>
      <c r="G468" s="6">
        <f>BankTransactions[[#This Row],[Credit (SAR)]]-BankTransactions[[#This Row],[Debit (SAR)]]</f>
        <v>-35197.53</v>
      </c>
      <c r="H468" s="6">
        <f>Opening+SUM(INDEX(BankTransactions[Net (SAR)],1):BankTransactions[[#This Row],[Net (SAR)]])</f>
        <v>2591386.14</v>
      </c>
    </row>
    <row r="469" spans="1:8" x14ac:dyDescent="0.2">
      <c r="A469" s="5" t="s">
        <v>698</v>
      </c>
      <c r="B469" s="4">
        <v>46155</v>
      </c>
      <c r="C469" s="2" t="s">
        <v>699</v>
      </c>
      <c r="D469" s="12">
        <v>5618.16</v>
      </c>
      <c r="E469" s="13">
        <v>0</v>
      </c>
      <c r="F469" s="19" t="str" cm="1">
        <f t="array" ref="F469">IFERROR(LOOKUP(2^15,SEARCH(CategoryMap[Keyword],BankTransactions[[#This Row],[Description]]),CategoryMap[Category]),"Other")</f>
        <v>Customer Receipts</v>
      </c>
      <c r="G469" s="6">
        <f>BankTransactions[[#This Row],[Credit (SAR)]]-BankTransactions[[#This Row],[Debit (SAR)]]</f>
        <v>5618.16</v>
      </c>
      <c r="H469" s="6">
        <f>Opening+SUM(INDEX(BankTransactions[Net (SAR)],1):BankTransactions[[#This Row],[Net (SAR)]])</f>
        <v>2597004.3000000003</v>
      </c>
    </row>
    <row r="470" spans="1:8" x14ac:dyDescent="0.2">
      <c r="A470" s="5" t="s">
        <v>700</v>
      </c>
      <c r="B470" s="4">
        <v>46155</v>
      </c>
      <c r="C470" s="2" t="s">
        <v>701</v>
      </c>
      <c r="D470" s="12">
        <v>9135.9599999999991</v>
      </c>
      <c r="E470" s="13">
        <v>0</v>
      </c>
      <c r="F470" s="19" t="str" cm="1">
        <f t="array" ref="F470">IFERROR(LOOKUP(2^15,SEARCH(CategoryMap[Keyword],BankTransactions[[#This Row],[Description]]),CategoryMap[Category]),"Other")</f>
        <v>Customer Receipts</v>
      </c>
      <c r="G470" s="6">
        <f>BankTransactions[[#This Row],[Credit (SAR)]]-BankTransactions[[#This Row],[Debit (SAR)]]</f>
        <v>9135.9599999999991</v>
      </c>
      <c r="H470" s="6">
        <f>Opening+SUM(INDEX(BankTransactions[Net (SAR)],1):BankTransactions[[#This Row],[Net (SAR)]])</f>
        <v>2606140.2600000002</v>
      </c>
    </row>
    <row r="471" spans="1:8" x14ac:dyDescent="0.2">
      <c r="A471" s="5" t="s">
        <v>702</v>
      </c>
      <c r="B471" s="4">
        <v>46155</v>
      </c>
      <c r="C471" s="2" t="s">
        <v>703</v>
      </c>
      <c r="D471" s="12">
        <v>32329.759999999998</v>
      </c>
      <c r="E471" s="13">
        <v>0</v>
      </c>
      <c r="F471" s="19" t="str" cm="1">
        <f t="array" ref="F471">IFERROR(LOOKUP(2^15,SEARCH(CategoryMap[Keyword],BankTransactions[[#This Row],[Description]]),CategoryMap[Category]),"Other")</f>
        <v>Customer Receipts</v>
      </c>
      <c r="G471" s="6">
        <f>BankTransactions[[#This Row],[Credit (SAR)]]-BankTransactions[[#This Row],[Debit (SAR)]]</f>
        <v>32329.759999999998</v>
      </c>
      <c r="H471" s="6">
        <f>Opening+SUM(INDEX(BankTransactions[Net (SAR)],1):BankTransactions[[#This Row],[Net (SAR)]])</f>
        <v>2638470.0200000005</v>
      </c>
    </row>
    <row r="472" spans="1:8" x14ac:dyDescent="0.2">
      <c r="A472" s="5" t="s">
        <v>704</v>
      </c>
      <c r="B472" s="4">
        <v>46155</v>
      </c>
      <c r="C472" s="2" t="s">
        <v>705</v>
      </c>
      <c r="D472" s="12">
        <v>5119.9799999999996</v>
      </c>
      <c r="E472" s="13">
        <v>0</v>
      </c>
      <c r="F472" s="19" t="str" cm="1">
        <f t="array" ref="F472">IFERROR(LOOKUP(2^15,SEARCH(CategoryMap[Keyword],BankTransactions[[#This Row],[Description]]),CategoryMap[Category]),"Other")</f>
        <v>Customer Receipts</v>
      </c>
      <c r="G472" s="6">
        <f>BankTransactions[[#This Row],[Credit (SAR)]]-BankTransactions[[#This Row],[Debit (SAR)]]</f>
        <v>5119.9799999999996</v>
      </c>
      <c r="H472" s="6">
        <f>Opening+SUM(INDEX(BankTransactions[Net (SAR)],1):BankTransactions[[#This Row],[Net (SAR)]])</f>
        <v>2643590.0000000005</v>
      </c>
    </row>
    <row r="473" spans="1:8" x14ac:dyDescent="0.2">
      <c r="A473" s="5" t="s">
        <v>706</v>
      </c>
      <c r="B473" s="4">
        <v>46155</v>
      </c>
      <c r="C473" s="2" t="s">
        <v>707</v>
      </c>
      <c r="D473" s="12">
        <v>6545.93</v>
      </c>
      <c r="E473" s="13">
        <v>0</v>
      </c>
      <c r="F473" s="19" t="str" cm="1">
        <f t="array" ref="F473">IFERROR(LOOKUP(2^15,SEARCH(CategoryMap[Keyword],BankTransactions[[#This Row],[Description]]),CategoryMap[Category]),"Other")</f>
        <v>Customer Receipts</v>
      </c>
      <c r="G473" s="6">
        <f>BankTransactions[[#This Row],[Credit (SAR)]]-BankTransactions[[#This Row],[Debit (SAR)]]</f>
        <v>6545.93</v>
      </c>
      <c r="H473" s="6">
        <f>Opening+SUM(INDEX(BankTransactions[Net (SAR)],1):BankTransactions[[#This Row],[Net (SAR)]])</f>
        <v>2650135.9300000002</v>
      </c>
    </row>
    <row r="474" spans="1:8" x14ac:dyDescent="0.2">
      <c r="A474" s="5" t="s">
        <v>708</v>
      </c>
      <c r="B474" s="4">
        <v>46156</v>
      </c>
      <c r="C474" s="2" t="s">
        <v>709</v>
      </c>
      <c r="D474" s="12">
        <v>4932.63</v>
      </c>
      <c r="E474" s="13">
        <v>0</v>
      </c>
      <c r="F474" s="19" t="str" cm="1">
        <f t="array" ref="F474">IFERROR(LOOKUP(2^15,SEARCH(CategoryMap[Keyword],BankTransactions[[#This Row],[Description]]),CategoryMap[Category]),"Other")</f>
        <v>Customer Receipts</v>
      </c>
      <c r="G474" s="6">
        <f>BankTransactions[[#This Row],[Credit (SAR)]]-BankTransactions[[#This Row],[Debit (SAR)]]</f>
        <v>4932.63</v>
      </c>
      <c r="H474" s="6">
        <f>Opening+SUM(INDEX(BankTransactions[Net (SAR)],1):BankTransactions[[#This Row],[Net (SAR)]])</f>
        <v>2655068.5600000005</v>
      </c>
    </row>
    <row r="475" spans="1:8" x14ac:dyDescent="0.2">
      <c r="A475" s="5" t="s">
        <v>710</v>
      </c>
      <c r="B475" s="4">
        <v>46156</v>
      </c>
      <c r="C475" s="2" t="s">
        <v>140</v>
      </c>
      <c r="D475" s="12">
        <v>4842.37</v>
      </c>
      <c r="E475" s="13">
        <v>0</v>
      </c>
      <c r="F475" s="19" t="str" cm="1">
        <f t="array" ref="F475">IFERROR(LOOKUP(2^15,SEARCH(CategoryMap[Keyword],BankTransactions[[#This Row],[Description]]),CategoryMap[Category]),"Other")</f>
        <v>Customer Receipts</v>
      </c>
      <c r="G475" s="6">
        <f>BankTransactions[[#This Row],[Credit (SAR)]]-BankTransactions[[#This Row],[Debit (SAR)]]</f>
        <v>4842.37</v>
      </c>
      <c r="H475" s="6">
        <f>Opening+SUM(INDEX(BankTransactions[Net (SAR)],1):BankTransactions[[#This Row],[Net (SAR)]])</f>
        <v>2659910.9300000002</v>
      </c>
    </row>
    <row r="476" spans="1:8" x14ac:dyDescent="0.2">
      <c r="A476" s="5" t="s">
        <v>711</v>
      </c>
      <c r="B476" s="4">
        <v>46156</v>
      </c>
      <c r="C476" s="2" t="s">
        <v>712</v>
      </c>
      <c r="D476" s="12">
        <v>6442.16</v>
      </c>
      <c r="E476" s="13">
        <v>0</v>
      </c>
      <c r="F476" s="19" t="str" cm="1">
        <f t="array" ref="F476">IFERROR(LOOKUP(2^15,SEARCH(CategoryMap[Keyword],BankTransactions[[#This Row],[Description]]),CategoryMap[Category]),"Other")</f>
        <v>Customer Receipts</v>
      </c>
      <c r="G476" s="6">
        <f>BankTransactions[[#This Row],[Credit (SAR)]]-BankTransactions[[#This Row],[Debit (SAR)]]</f>
        <v>6442.16</v>
      </c>
      <c r="H476" s="6">
        <f>Opening+SUM(INDEX(BankTransactions[Net (SAR)],1):BankTransactions[[#This Row],[Net (SAR)]])</f>
        <v>2666353.0900000003</v>
      </c>
    </row>
    <row r="477" spans="1:8" x14ac:dyDescent="0.2">
      <c r="A477" s="5" t="s">
        <v>713</v>
      </c>
      <c r="B477" s="4">
        <v>46156</v>
      </c>
      <c r="C477" s="2" t="s">
        <v>10</v>
      </c>
      <c r="D477" s="12">
        <v>0</v>
      </c>
      <c r="E477" s="13">
        <v>43622.879999999997</v>
      </c>
      <c r="F477" s="19" t="str" cm="1">
        <f t="array" ref="F477">IFERROR(LOOKUP(2^15,SEARCH(CategoryMap[Keyword],BankTransactions[[#This Row],[Description]]),CategoryMap[Category]),"Other")</f>
        <v>Fuel &amp; Logistics</v>
      </c>
      <c r="G477" s="6">
        <f>BankTransactions[[#This Row],[Credit (SAR)]]-BankTransactions[[#This Row],[Debit (SAR)]]</f>
        <v>-43622.879999999997</v>
      </c>
      <c r="H477" s="6">
        <f>Opening+SUM(INDEX(BankTransactions[Net (SAR)],1):BankTransactions[[#This Row],[Net (SAR)]])</f>
        <v>2622730.2100000004</v>
      </c>
    </row>
    <row r="478" spans="1:8" x14ac:dyDescent="0.2">
      <c r="A478" s="5" t="s">
        <v>714</v>
      </c>
      <c r="B478" s="4">
        <v>46156</v>
      </c>
      <c r="C478" s="2" t="s">
        <v>7</v>
      </c>
      <c r="D478" s="12">
        <v>0</v>
      </c>
      <c r="E478" s="13">
        <v>38539.32</v>
      </c>
      <c r="F478" s="19" t="str" cm="1">
        <f t="array" ref="F478">IFERROR(LOOKUP(2^15,SEARCH(CategoryMap[Keyword],BankTransactions[[#This Row],[Description]]),CategoryMap[Category]),"Other")</f>
        <v>Supplier Payments</v>
      </c>
      <c r="G478" s="6">
        <f>BankTransactions[[#This Row],[Credit (SAR)]]-BankTransactions[[#This Row],[Debit (SAR)]]</f>
        <v>-38539.32</v>
      </c>
      <c r="H478" s="6">
        <f>Opening+SUM(INDEX(BankTransactions[Net (SAR)],1):BankTransactions[[#This Row],[Net (SAR)]])</f>
        <v>2584190.89</v>
      </c>
    </row>
    <row r="479" spans="1:8" x14ac:dyDescent="0.2">
      <c r="A479" s="5" t="s">
        <v>715</v>
      </c>
      <c r="B479" s="4">
        <v>46157</v>
      </c>
      <c r="C479" s="2" t="s">
        <v>171</v>
      </c>
      <c r="D479" s="12">
        <v>4443.3100000000004</v>
      </c>
      <c r="E479" s="13">
        <v>0</v>
      </c>
      <c r="F479" s="19" t="str" cm="1">
        <f t="array" ref="F479">IFERROR(LOOKUP(2^15,SEARCH(CategoryMap[Keyword],BankTransactions[[#This Row],[Description]]),CategoryMap[Category]),"Other")</f>
        <v>Customer Receipts</v>
      </c>
      <c r="G479" s="6">
        <f>BankTransactions[[#This Row],[Credit (SAR)]]-BankTransactions[[#This Row],[Debit (SAR)]]</f>
        <v>4443.3100000000004</v>
      </c>
      <c r="H479" s="6">
        <f>Opening+SUM(INDEX(BankTransactions[Net (SAR)],1):BankTransactions[[#This Row],[Net (SAR)]])</f>
        <v>2588634.2000000002</v>
      </c>
    </row>
    <row r="480" spans="1:8" x14ac:dyDescent="0.2">
      <c r="A480" s="5" t="s">
        <v>716</v>
      </c>
      <c r="B480" s="4">
        <v>46157</v>
      </c>
      <c r="C480" s="2" t="s">
        <v>140</v>
      </c>
      <c r="D480" s="12">
        <v>9152.41</v>
      </c>
      <c r="E480" s="13">
        <v>0</v>
      </c>
      <c r="F480" s="19" t="str" cm="1">
        <f t="array" ref="F480">IFERROR(LOOKUP(2^15,SEARCH(CategoryMap[Keyword],BankTransactions[[#This Row],[Description]]),CategoryMap[Category]),"Other")</f>
        <v>Customer Receipts</v>
      </c>
      <c r="G480" s="6">
        <f>BankTransactions[[#This Row],[Credit (SAR)]]-BankTransactions[[#This Row],[Debit (SAR)]]</f>
        <v>9152.41</v>
      </c>
      <c r="H480" s="6">
        <f>Opening+SUM(INDEX(BankTransactions[Net (SAR)],1):BankTransactions[[#This Row],[Net (SAR)]])</f>
        <v>2597786.6100000003</v>
      </c>
    </row>
    <row r="481" spans="1:8" x14ac:dyDescent="0.2">
      <c r="A481" s="5" t="s">
        <v>717</v>
      </c>
      <c r="B481" s="4">
        <v>46157</v>
      </c>
      <c r="C481" s="2" t="s">
        <v>718</v>
      </c>
      <c r="D481" s="12">
        <v>13579.53</v>
      </c>
      <c r="E481" s="13">
        <v>0</v>
      </c>
      <c r="F481" s="19" t="str" cm="1">
        <f t="array" ref="F481">IFERROR(LOOKUP(2^15,SEARCH(CategoryMap[Keyword],BankTransactions[[#This Row],[Description]]),CategoryMap[Category]),"Other")</f>
        <v>Customer Receipts</v>
      </c>
      <c r="G481" s="6">
        <f>BankTransactions[[#This Row],[Credit (SAR)]]-BankTransactions[[#This Row],[Debit (SAR)]]</f>
        <v>13579.53</v>
      </c>
      <c r="H481" s="6">
        <f>Opening+SUM(INDEX(BankTransactions[Net (SAR)],1):BankTransactions[[#This Row],[Net (SAR)]])</f>
        <v>2611366.14</v>
      </c>
    </row>
    <row r="482" spans="1:8" x14ac:dyDescent="0.2">
      <c r="A482" s="5" t="s">
        <v>719</v>
      </c>
      <c r="B482" s="4">
        <v>46158</v>
      </c>
      <c r="C482" s="2" t="s">
        <v>720</v>
      </c>
      <c r="D482" s="12">
        <v>8834.2199999999993</v>
      </c>
      <c r="E482" s="13">
        <v>0</v>
      </c>
      <c r="F482" s="19" t="str" cm="1">
        <f t="array" ref="F482">IFERROR(LOOKUP(2^15,SEARCH(CategoryMap[Keyword],BankTransactions[[#This Row],[Description]]),CategoryMap[Category]),"Other")</f>
        <v>Customer Receipts</v>
      </c>
      <c r="G482" s="6">
        <f>BankTransactions[[#This Row],[Credit (SAR)]]-BankTransactions[[#This Row],[Debit (SAR)]]</f>
        <v>8834.2199999999993</v>
      </c>
      <c r="H482" s="6">
        <f>Opening+SUM(INDEX(BankTransactions[Net (SAR)],1):BankTransactions[[#This Row],[Net (SAR)]])</f>
        <v>2620200.3600000003</v>
      </c>
    </row>
    <row r="483" spans="1:8" x14ac:dyDescent="0.2">
      <c r="A483" s="5" t="s">
        <v>721</v>
      </c>
      <c r="B483" s="4">
        <v>46159</v>
      </c>
      <c r="C483" s="2" t="s">
        <v>207</v>
      </c>
      <c r="D483" s="12">
        <v>20353.04</v>
      </c>
      <c r="E483" s="13">
        <v>0</v>
      </c>
      <c r="F483" s="19" t="str" cm="1">
        <f t="array" ref="F483">IFERROR(LOOKUP(2^15,SEARCH(CategoryMap[Keyword],BankTransactions[[#This Row],[Description]]),CategoryMap[Category]),"Other")</f>
        <v>Customer Receipts</v>
      </c>
      <c r="G483" s="6">
        <f>BankTransactions[[#This Row],[Credit (SAR)]]-BankTransactions[[#This Row],[Debit (SAR)]]</f>
        <v>20353.04</v>
      </c>
      <c r="H483" s="6">
        <f>Opening+SUM(INDEX(BankTransactions[Net (SAR)],1):BankTransactions[[#This Row],[Net (SAR)]])</f>
        <v>2640553.4000000004</v>
      </c>
    </row>
    <row r="484" spans="1:8" x14ac:dyDescent="0.2">
      <c r="A484" s="5" t="s">
        <v>722</v>
      </c>
      <c r="B484" s="4">
        <v>46159</v>
      </c>
      <c r="C484" s="2" t="s">
        <v>723</v>
      </c>
      <c r="D484" s="12">
        <v>5179.09</v>
      </c>
      <c r="E484" s="13">
        <v>0</v>
      </c>
      <c r="F484" s="19" t="str" cm="1">
        <f t="array" ref="F484">IFERROR(LOOKUP(2^15,SEARCH(CategoryMap[Keyword],BankTransactions[[#This Row],[Description]]),CategoryMap[Category]),"Other")</f>
        <v>Customer Receipts</v>
      </c>
      <c r="G484" s="6">
        <f>BankTransactions[[#This Row],[Credit (SAR)]]-BankTransactions[[#This Row],[Debit (SAR)]]</f>
        <v>5179.09</v>
      </c>
      <c r="H484" s="6">
        <f>Opening+SUM(INDEX(BankTransactions[Net (SAR)],1):BankTransactions[[#This Row],[Net (SAR)]])</f>
        <v>2645732.4900000002</v>
      </c>
    </row>
    <row r="485" spans="1:8" x14ac:dyDescent="0.2">
      <c r="A485" s="5" t="s">
        <v>724</v>
      </c>
      <c r="B485" s="4">
        <v>46159</v>
      </c>
      <c r="C485" s="2" t="s">
        <v>725</v>
      </c>
      <c r="D485" s="12">
        <v>13130.14</v>
      </c>
      <c r="E485" s="13">
        <v>0</v>
      </c>
      <c r="F485" s="19" t="str" cm="1">
        <f t="array" ref="F485">IFERROR(LOOKUP(2^15,SEARCH(CategoryMap[Keyword],BankTransactions[[#This Row],[Description]]),CategoryMap[Category]),"Other")</f>
        <v>Customer Receipts</v>
      </c>
      <c r="G485" s="6">
        <f>BankTransactions[[#This Row],[Credit (SAR)]]-BankTransactions[[#This Row],[Debit (SAR)]]</f>
        <v>13130.14</v>
      </c>
      <c r="H485" s="6">
        <f>Opening+SUM(INDEX(BankTransactions[Net (SAR)],1):BankTransactions[[#This Row],[Net (SAR)]])</f>
        <v>2658862.6300000004</v>
      </c>
    </row>
    <row r="486" spans="1:8" x14ac:dyDescent="0.2">
      <c r="A486" s="5" t="s">
        <v>726</v>
      </c>
      <c r="B486" s="4">
        <v>46159</v>
      </c>
      <c r="C486" s="2" t="s">
        <v>727</v>
      </c>
      <c r="D486" s="12">
        <v>15051.41</v>
      </c>
      <c r="E486" s="13">
        <v>0</v>
      </c>
      <c r="F486" s="19" t="str" cm="1">
        <f t="array" ref="F486">IFERROR(LOOKUP(2^15,SEARCH(CategoryMap[Keyword],BankTransactions[[#This Row],[Description]]),CategoryMap[Category]),"Other")</f>
        <v>Customer Receipts</v>
      </c>
      <c r="G486" s="6">
        <f>BankTransactions[[#This Row],[Credit (SAR)]]-BankTransactions[[#This Row],[Debit (SAR)]]</f>
        <v>15051.41</v>
      </c>
      <c r="H486" s="6">
        <f>Opening+SUM(INDEX(BankTransactions[Net (SAR)],1):BankTransactions[[#This Row],[Net (SAR)]])</f>
        <v>2673914.0400000005</v>
      </c>
    </row>
    <row r="487" spans="1:8" x14ac:dyDescent="0.2">
      <c r="A487" s="5" t="s">
        <v>728</v>
      </c>
      <c r="B487" s="4">
        <v>46160</v>
      </c>
      <c r="C487" s="2" t="s">
        <v>3</v>
      </c>
      <c r="D487" s="12">
        <v>0</v>
      </c>
      <c r="E487" s="13">
        <v>12411.78</v>
      </c>
      <c r="F487" s="19" t="str" cm="1">
        <f t="array" ref="F487">IFERROR(LOOKUP(2^15,SEARCH(CategoryMap[Keyword],BankTransactions[[#This Row],[Description]]),CategoryMap[Category]),"Other")</f>
        <v>Supplier Payments</v>
      </c>
      <c r="G487" s="6">
        <f>BankTransactions[[#This Row],[Credit (SAR)]]-BankTransactions[[#This Row],[Debit (SAR)]]</f>
        <v>-12411.78</v>
      </c>
      <c r="H487" s="6">
        <f>Opening+SUM(INDEX(BankTransactions[Net (SAR)],1):BankTransactions[[#This Row],[Net (SAR)]])</f>
        <v>2661502.2600000002</v>
      </c>
    </row>
    <row r="488" spans="1:8" x14ac:dyDescent="0.2">
      <c r="A488" s="5" t="s">
        <v>729</v>
      </c>
      <c r="B488" s="4">
        <v>46160</v>
      </c>
      <c r="C488" s="2" t="s">
        <v>3</v>
      </c>
      <c r="D488" s="12">
        <v>0</v>
      </c>
      <c r="E488" s="13">
        <v>28716.65</v>
      </c>
      <c r="F488" s="19" t="str" cm="1">
        <f t="array" ref="F488">IFERROR(LOOKUP(2^15,SEARCH(CategoryMap[Keyword],BankTransactions[[#This Row],[Description]]),CategoryMap[Category]),"Other")</f>
        <v>Supplier Payments</v>
      </c>
      <c r="G488" s="6">
        <f>BankTransactions[[#This Row],[Credit (SAR)]]-BankTransactions[[#This Row],[Debit (SAR)]]</f>
        <v>-28716.65</v>
      </c>
      <c r="H488" s="6">
        <f>Opening+SUM(INDEX(BankTransactions[Net (SAR)],1):BankTransactions[[#This Row],[Net (SAR)]])</f>
        <v>2632785.6100000003</v>
      </c>
    </row>
    <row r="489" spans="1:8" x14ac:dyDescent="0.2">
      <c r="A489" s="5" t="s">
        <v>730</v>
      </c>
      <c r="B489" s="4">
        <v>46160</v>
      </c>
      <c r="C489" s="2" t="s">
        <v>7</v>
      </c>
      <c r="D489" s="12">
        <v>0</v>
      </c>
      <c r="E489" s="13">
        <v>32837.949999999997</v>
      </c>
      <c r="F489" s="19" t="str" cm="1">
        <f t="array" ref="F489">IFERROR(LOOKUP(2^15,SEARCH(CategoryMap[Keyword],BankTransactions[[#This Row],[Description]]),CategoryMap[Category]),"Other")</f>
        <v>Supplier Payments</v>
      </c>
      <c r="G489" s="6">
        <f>BankTransactions[[#This Row],[Credit (SAR)]]-BankTransactions[[#This Row],[Debit (SAR)]]</f>
        <v>-32837.949999999997</v>
      </c>
      <c r="H489" s="6">
        <f>Opening+SUM(INDEX(BankTransactions[Net (SAR)],1):BankTransactions[[#This Row],[Net (SAR)]])</f>
        <v>2599947.66</v>
      </c>
    </row>
    <row r="490" spans="1:8" x14ac:dyDescent="0.2">
      <c r="A490" s="5" t="s">
        <v>731</v>
      </c>
      <c r="B490" s="4">
        <v>46161</v>
      </c>
      <c r="C490" s="2" t="s">
        <v>732</v>
      </c>
      <c r="D490" s="12">
        <v>5734.52</v>
      </c>
      <c r="E490" s="13">
        <v>0</v>
      </c>
      <c r="F490" s="19" t="str" cm="1">
        <f t="array" ref="F490">IFERROR(LOOKUP(2^15,SEARCH(CategoryMap[Keyword],BankTransactions[[#This Row],[Description]]),CategoryMap[Category]),"Other")</f>
        <v>Customer Receipts</v>
      </c>
      <c r="G490" s="6">
        <f>BankTransactions[[#This Row],[Credit (SAR)]]-BankTransactions[[#This Row],[Debit (SAR)]]</f>
        <v>5734.52</v>
      </c>
      <c r="H490" s="6">
        <f>Opening+SUM(INDEX(BankTransactions[Net (SAR)],1):BankTransactions[[#This Row],[Net (SAR)]])</f>
        <v>2605682.1800000002</v>
      </c>
    </row>
    <row r="491" spans="1:8" x14ac:dyDescent="0.2">
      <c r="A491" s="5" t="s">
        <v>733</v>
      </c>
      <c r="B491" s="4">
        <v>46161</v>
      </c>
      <c r="C491" s="2" t="s">
        <v>112</v>
      </c>
      <c r="D491" s="12">
        <v>7996.12</v>
      </c>
      <c r="E491" s="13">
        <v>0</v>
      </c>
      <c r="F491" s="19" t="str" cm="1">
        <f t="array" ref="F491">IFERROR(LOOKUP(2^15,SEARCH(CategoryMap[Keyword],BankTransactions[[#This Row],[Description]]),CategoryMap[Category]),"Other")</f>
        <v>Customer Receipts</v>
      </c>
      <c r="G491" s="6">
        <f>BankTransactions[[#This Row],[Credit (SAR)]]-BankTransactions[[#This Row],[Debit (SAR)]]</f>
        <v>7996.12</v>
      </c>
      <c r="H491" s="6">
        <f>Opening+SUM(INDEX(BankTransactions[Net (SAR)],1):BankTransactions[[#This Row],[Net (SAR)]])</f>
        <v>2613678.3000000003</v>
      </c>
    </row>
    <row r="492" spans="1:8" x14ac:dyDescent="0.2">
      <c r="A492" s="5" t="s">
        <v>734</v>
      </c>
      <c r="B492" s="4">
        <v>46162</v>
      </c>
      <c r="C492" s="2" t="s">
        <v>735</v>
      </c>
      <c r="D492" s="12">
        <v>19406.560000000001</v>
      </c>
      <c r="E492" s="13">
        <v>0</v>
      </c>
      <c r="F492" s="19" t="str" cm="1">
        <f t="array" ref="F492">IFERROR(LOOKUP(2^15,SEARCH(CategoryMap[Keyword],BankTransactions[[#This Row],[Description]]),CategoryMap[Category]),"Other")</f>
        <v>Customer Receipts</v>
      </c>
      <c r="G492" s="6">
        <f>BankTransactions[[#This Row],[Credit (SAR)]]-BankTransactions[[#This Row],[Debit (SAR)]]</f>
        <v>19406.560000000001</v>
      </c>
      <c r="H492" s="6">
        <f>Opening+SUM(INDEX(BankTransactions[Net (SAR)],1):BankTransactions[[#This Row],[Net (SAR)]])</f>
        <v>2633084.8600000003</v>
      </c>
    </row>
    <row r="493" spans="1:8" x14ac:dyDescent="0.2">
      <c r="A493" s="5" t="s">
        <v>736</v>
      </c>
      <c r="B493" s="4">
        <v>46162</v>
      </c>
      <c r="C493" s="2" t="s">
        <v>310</v>
      </c>
      <c r="D493" s="12">
        <v>20379.27</v>
      </c>
      <c r="E493" s="13">
        <v>0</v>
      </c>
      <c r="F493" s="19" t="str" cm="1">
        <f t="array" ref="F493">IFERROR(LOOKUP(2^15,SEARCH(CategoryMap[Keyword],BankTransactions[[#This Row],[Description]]),CategoryMap[Category]),"Other")</f>
        <v>Customer Receipts</v>
      </c>
      <c r="G493" s="6">
        <f>BankTransactions[[#This Row],[Credit (SAR)]]-BankTransactions[[#This Row],[Debit (SAR)]]</f>
        <v>20379.27</v>
      </c>
      <c r="H493" s="6">
        <f>Opening+SUM(INDEX(BankTransactions[Net (SAR)],1):BankTransactions[[#This Row],[Net (SAR)]])</f>
        <v>2653464.1300000004</v>
      </c>
    </row>
    <row r="494" spans="1:8" x14ac:dyDescent="0.2">
      <c r="A494" s="5" t="s">
        <v>737</v>
      </c>
      <c r="B494" s="4">
        <v>46162</v>
      </c>
      <c r="C494" s="2" t="s">
        <v>3</v>
      </c>
      <c r="D494" s="12">
        <v>5905.38</v>
      </c>
      <c r="E494" s="13">
        <v>26740.78</v>
      </c>
      <c r="F494" s="19" t="str" cm="1">
        <f t="array" ref="F494">IFERROR(LOOKUP(2^15,SEARCH(CategoryMap[Keyword],BankTransactions[[#This Row],[Description]]),CategoryMap[Category]),"Other")</f>
        <v>Supplier Payments</v>
      </c>
      <c r="G494" s="6">
        <f>BankTransactions[[#This Row],[Credit (SAR)]]-BankTransactions[[#This Row],[Debit (SAR)]]</f>
        <v>-20835.399999999998</v>
      </c>
      <c r="H494" s="6">
        <f>Opening+SUM(INDEX(BankTransactions[Net (SAR)],1):BankTransactions[[#This Row],[Net (SAR)]])</f>
        <v>2632628.7300000004</v>
      </c>
    </row>
    <row r="495" spans="1:8" x14ac:dyDescent="0.2">
      <c r="A495" s="5" t="s">
        <v>738</v>
      </c>
      <c r="B495" s="4">
        <v>46163</v>
      </c>
      <c r="C495" s="2" t="s">
        <v>739</v>
      </c>
      <c r="D495" s="12">
        <v>32924.269999999997</v>
      </c>
      <c r="E495" s="13">
        <v>0</v>
      </c>
      <c r="F495" s="19" t="str" cm="1">
        <f t="array" ref="F495">IFERROR(LOOKUP(2^15,SEARCH(CategoryMap[Keyword],BankTransactions[[#This Row],[Description]]),CategoryMap[Category]),"Other")</f>
        <v>Customer Receipts</v>
      </c>
      <c r="G495" s="6">
        <f>BankTransactions[[#This Row],[Credit (SAR)]]-BankTransactions[[#This Row],[Debit (SAR)]]</f>
        <v>32924.269999999997</v>
      </c>
      <c r="H495" s="6">
        <f>Opening+SUM(INDEX(BankTransactions[Net (SAR)],1):BankTransactions[[#This Row],[Net (SAR)]])</f>
        <v>2665553.0000000005</v>
      </c>
    </row>
    <row r="496" spans="1:8" x14ac:dyDescent="0.2">
      <c r="A496" s="5" t="s">
        <v>740</v>
      </c>
      <c r="B496" s="4">
        <v>46163</v>
      </c>
      <c r="C496" s="2" t="s">
        <v>12</v>
      </c>
      <c r="D496" s="12">
        <v>16921.68</v>
      </c>
      <c r="E496" s="13">
        <v>0</v>
      </c>
      <c r="F496" s="19" t="str" cm="1">
        <f t="array" ref="F496">IFERROR(LOOKUP(2^15,SEARCH(CategoryMap[Keyword],BankTransactions[[#This Row],[Description]]),CategoryMap[Category]),"Other")</f>
        <v>Cash Deposits</v>
      </c>
      <c r="G496" s="6">
        <f>BankTransactions[[#This Row],[Credit (SAR)]]-BankTransactions[[#This Row],[Debit (SAR)]]</f>
        <v>16921.68</v>
      </c>
      <c r="H496" s="6">
        <f>Opening+SUM(INDEX(BankTransactions[Net (SAR)],1):BankTransactions[[#This Row],[Net (SAR)]])</f>
        <v>2682474.6800000002</v>
      </c>
    </row>
    <row r="497" spans="1:8" x14ac:dyDescent="0.2">
      <c r="A497" s="5" t="s">
        <v>741</v>
      </c>
      <c r="B497" s="4">
        <v>46164</v>
      </c>
      <c r="C497" s="2" t="s">
        <v>742</v>
      </c>
      <c r="D497" s="12">
        <v>3941.89</v>
      </c>
      <c r="E497" s="13">
        <v>0</v>
      </c>
      <c r="F497" s="19" t="str" cm="1">
        <f t="array" ref="F497">IFERROR(LOOKUP(2^15,SEARCH(CategoryMap[Keyword],BankTransactions[[#This Row],[Description]]),CategoryMap[Category]),"Other")</f>
        <v>Customer Receipts</v>
      </c>
      <c r="G497" s="6">
        <f>BankTransactions[[#This Row],[Credit (SAR)]]-BankTransactions[[#This Row],[Debit (SAR)]]</f>
        <v>3941.89</v>
      </c>
      <c r="H497" s="6">
        <f>Opening+SUM(INDEX(BankTransactions[Net (SAR)],1):BankTransactions[[#This Row],[Net (SAR)]])</f>
        <v>2686416.5700000003</v>
      </c>
    </row>
    <row r="498" spans="1:8" x14ac:dyDescent="0.2">
      <c r="A498" s="5" t="s">
        <v>743</v>
      </c>
      <c r="B498" s="4">
        <v>46164</v>
      </c>
      <c r="C498" s="2" t="s">
        <v>207</v>
      </c>
      <c r="D498" s="12">
        <v>7513.39</v>
      </c>
      <c r="E498" s="13">
        <v>0</v>
      </c>
      <c r="F498" s="19" t="str" cm="1">
        <f t="array" ref="F498">IFERROR(LOOKUP(2^15,SEARCH(CategoryMap[Keyword],BankTransactions[[#This Row],[Description]]),CategoryMap[Category]),"Other")</f>
        <v>Customer Receipts</v>
      </c>
      <c r="G498" s="6">
        <f>BankTransactions[[#This Row],[Credit (SAR)]]-BankTransactions[[#This Row],[Debit (SAR)]]</f>
        <v>7513.39</v>
      </c>
      <c r="H498" s="6">
        <f>Opening+SUM(INDEX(BankTransactions[Net (SAR)],1):BankTransactions[[#This Row],[Net (SAR)]])</f>
        <v>2693929.9600000004</v>
      </c>
    </row>
    <row r="499" spans="1:8" x14ac:dyDescent="0.2">
      <c r="A499" s="5" t="s">
        <v>744</v>
      </c>
      <c r="B499" s="4">
        <v>46164</v>
      </c>
      <c r="C499" s="2" t="s">
        <v>188</v>
      </c>
      <c r="D499" s="12">
        <v>3284.49</v>
      </c>
      <c r="E499" s="13">
        <v>0</v>
      </c>
      <c r="F499" s="19" t="str" cm="1">
        <f t="array" ref="F499">IFERROR(LOOKUP(2^15,SEARCH(CategoryMap[Keyword],BankTransactions[[#This Row],[Description]]),CategoryMap[Category]),"Other")</f>
        <v>Customer Receipts</v>
      </c>
      <c r="G499" s="6">
        <f>BankTransactions[[#This Row],[Credit (SAR)]]-BankTransactions[[#This Row],[Debit (SAR)]]</f>
        <v>3284.49</v>
      </c>
      <c r="H499" s="6">
        <f>Opening+SUM(INDEX(BankTransactions[Net (SAR)],1):BankTransactions[[#This Row],[Net (SAR)]])</f>
        <v>2697214.45</v>
      </c>
    </row>
    <row r="500" spans="1:8" x14ac:dyDescent="0.2">
      <c r="A500" s="5" t="s">
        <v>745</v>
      </c>
      <c r="B500" s="4">
        <v>46164</v>
      </c>
      <c r="C500" s="2" t="s">
        <v>12</v>
      </c>
      <c r="D500" s="12">
        <v>26980.47</v>
      </c>
      <c r="E500" s="13">
        <v>0</v>
      </c>
      <c r="F500" s="19" t="str" cm="1">
        <f t="array" ref="F500">IFERROR(LOOKUP(2^15,SEARCH(CategoryMap[Keyword],BankTransactions[[#This Row],[Description]]),CategoryMap[Category]),"Other")</f>
        <v>Cash Deposits</v>
      </c>
      <c r="G500" s="6">
        <f>BankTransactions[[#This Row],[Credit (SAR)]]-BankTransactions[[#This Row],[Debit (SAR)]]</f>
        <v>26980.47</v>
      </c>
      <c r="H500" s="6">
        <f>Opening+SUM(INDEX(BankTransactions[Net (SAR)],1):BankTransactions[[#This Row],[Net (SAR)]])</f>
        <v>2724194.9200000004</v>
      </c>
    </row>
    <row r="501" spans="1:8" x14ac:dyDescent="0.2">
      <c r="A501" s="5" t="s">
        <v>746</v>
      </c>
      <c r="B501" s="4">
        <v>46165</v>
      </c>
      <c r="C501" s="2" t="s">
        <v>10</v>
      </c>
      <c r="D501" s="12">
        <v>0</v>
      </c>
      <c r="E501" s="13">
        <v>48549.99</v>
      </c>
      <c r="F501" s="19" t="str" cm="1">
        <f t="array" ref="F501">IFERROR(LOOKUP(2^15,SEARCH(CategoryMap[Keyword],BankTransactions[[#This Row],[Description]]),CategoryMap[Category]),"Other")</f>
        <v>Fuel &amp; Logistics</v>
      </c>
      <c r="G501" s="6">
        <f>BankTransactions[[#This Row],[Credit (SAR)]]-BankTransactions[[#This Row],[Debit (SAR)]]</f>
        <v>-48549.99</v>
      </c>
      <c r="H501" s="6">
        <f>Opening+SUM(INDEX(BankTransactions[Net (SAR)],1):BankTransactions[[#This Row],[Net (SAR)]])</f>
        <v>2675644.9300000002</v>
      </c>
    </row>
    <row r="502" spans="1:8" x14ac:dyDescent="0.2">
      <c r="A502" s="5" t="s">
        <v>747</v>
      </c>
      <c r="B502" s="4">
        <v>46165</v>
      </c>
      <c r="C502" s="2" t="s">
        <v>10</v>
      </c>
      <c r="D502" s="12">
        <v>0</v>
      </c>
      <c r="E502" s="13">
        <v>24803.94</v>
      </c>
      <c r="F502" s="19" t="str" cm="1">
        <f t="array" ref="F502">IFERROR(LOOKUP(2^15,SEARCH(CategoryMap[Keyword],BankTransactions[[#This Row],[Description]]),CategoryMap[Category]),"Other")</f>
        <v>Fuel &amp; Logistics</v>
      </c>
      <c r="G502" s="6">
        <f>BankTransactions[[#This Row],[Credit (SAR)]]-BankTransactions[[#This Row],[Debit (SAR)]]</f>
        <v>-24803.94</v>
      </c>
      <c r="H502" s="6">
        <f>Opening+SUM(INDEX(BankTransactions[Net (SAR)],1):BankTransactions[[#This Row],[Net (SAR)]])</f>
        <v>2650840.9900000002</v>
      </c>
    </row>
    <row r="503" spans="1:8" x14ac:dyDescent="0.2">
      <c r="A503" s="5" t="s">
        <v>748</v>
      </c>
      <c r="B503" s="4">
        <v>46165</v>
      </c>
      <c r="C503" s="2" t="s">
        <v>10</v>
      </c>
      <c r="D503" s="12">
        <v>2420.5100000000002</v>
      </c>
      <c r="E503" s="13">
        <v>0</v>
      </c>
      <c r="F503" s="19" t="str" cm="1">
        <f t="array" ref="F503">IFERROR(LOOKUP(2^15,SEARCH(CategoryMap[Keyword],BankTransactions[[#This Row],[Description]]),CategoryMap[Category]),"Other")</f>
        <v>Fuel &amp; Logistics</v>
      </c>
      <c r="G503" s="6">
        <f>BankTransactions[[#This Row],[Credit (SAR)]]-BankTransactions[[#This Row],[Debit (SAR)]]</f>
        <v>2420.5100000000002</v>
      </c>
      <c r="H503" s="6">
        <f>Opening+SUM(INDEX(BankTransactions[Net (SAR)],1):BankTransactions[[#This Row],[Net (SAR)]])</f>
        <v>2653261.5000000005</v>
      </c>
    </row>
    <row r="504" spans="1:8" x14ac:dyDescent="0.2">
      <c r="A504" s="5" t="s">
        <v>749</v>
      </c>
      <c r="B504" s="4">
        <v>46166</v>
      </c>
      <c r="C504" s="2" t="s">
        <v>140</v>
      </c>
      <c r="D504" s="12">
        <v>4977.6899999999996</v>
      </c>
      <c r="E504" s="13">
        <v>0</v>
      </c>
      <c r="F504" s="19" t="str" cm="1">
        <f t="array" ref="F504">IFERROR(LOOKUP(2^15,SEARCH(CategoryMap[Keyword],BankTransactions[[#This Row],[Description]]),CategoryMap[Category]),"Other")</f>
        <v>Customer Receipts</v>
      </c>
      <c r="G504" s="6">
        <f>BankTransactions[[#This Row],[Credit (SAR)]]-BankTransactions[[#This Row],[Debit (SAR)]]</f>
        <v>4977.6899999999996</v>
      </c>
      <c r="H504" s="6">
        <f>Opening+SUM(INDEX(BankTransactions[Net (SAR)],1):BankTransactions[[#This Row],[Net (SAR)]])</f>
        <v>2658239.1900000004</v>
      </c>
    </row>
    <row r="505" spans="1:8" x14ac:dyDescent="0.2">
      <c r="A505" s="5" t="s">
        <v>750</v>
      </c>
      <c r="B505" s="4">
        <v>46166</v>
      </c>
      <c r="C505" s="2" t="s">
        <v>751</v>
      </c>
      <c r="D505" s="12">
        <v>20806.62</v>
      </c>
      <c r="E505" s="13">
        <v>0</v>
      </c>
      <c r="F505" s="19" t="str" cm="1">
        <f t="array" ref="F505">IFERROR(LOOKUP(2^15,SEARCH(CategoryMap[Keyword],BankTransactions[[#This Row],[Description]]),CategoryMap[Category]),"Other")</f>
        <v>Customer Receipts</v>
      </c>
      <c r="G505" s="6">
        <f>BankTransactions[[#This Row],[Credit (SAR)]]-BankTransactions[[#This Row],[Debit (SAR)]]</f>
        <v>20806.62</v>
      </c>
      <c r="H505" s="6">
        <f>Opening+SUM(INDEX(BankTransactions[Net (SAR)],1):BankTransactions[[#This Row],[Net (SAR)]])</f>
        <v>2679045.8100000005</v>
      </c>
    </row>
    <row r="506" spans="1:8" x14ac:dyDescent="0.2">
      <c r="A506" s="5" t="s">
        <v>752</v>
      </c>
      <c r="B506" s="4">
        <v>46167</v>
      </c>
      <c r="C506" s="2" t="s">
        <v>753</v>
      </c>
      <c r="D506" s="12">
        <v>20585.57</v>
      </c>
      <c r="E506" s="13">
        <v>0</v>
      </c>
      <c r="F506" s="19" t="str" cm="1">
        <f t="array" ref="F506">IFERROR(LOOKUP(2^15,SEARCH(CategoryMap[Keyword],BankTransactions[[#This Row],[Description]]),CategoryMap[Category]),"Other")</f>
        <v>Customer Receipts</v>
      </c>
      <c r="G506" s="6">
        <f>BankTransactions[[#This Row],[Credit (SAR)]]-BankTransactions[[#This Row],[Debit (SAR)]]</f>
        <v>20585.57</v>
      </c>
      <c r="H506" s="6">
        <f>Opening+SUM(INDEX(BankTransactions[Net (SAR)],1):BankTransactions[[#This Row],[Net (SAR)]])</f>
        <v>2699631.3800000004</v>
      </c>
    </row>
    <row r="507" spans="1:8" x14ac:dyDescent="0.2">
      <c r="A507" s="5" t="s">
        <v>754</v>
      </c>
      <c r="B507" s="4">
        <v>46167</v>
      </c>
      <c r="C507" s="2" t="s">
        <v>22</v>
      </c>
      <c r="D507" s="12">
        <v>0</v>
      </c>
      <c r="E507" s="13">
        <v>64000</v>
      </c>
      <c r="F507" s="19" t="str" cm="1">
        <f t="array" ref="F507">IFERROR(LOOKUP(2^15,SEARCH(CategoryMap[Keyword],BankTransactions[[#This Row],[Description]]),CategoryMap[Category]),"Other")</f>
        <v>Payroll</v>
      </c>
      <c r="G507" s="6">
        <f>BankTransactions[[#This Row],[Credit (SAR)]]-BankTransactions[[#This Row],[Debit (SAR)]]</f>
        <v>-64000</v>
      </c>
      <c r="H507" s="6">
        <f>Opening+SUM(INDEX(BankTransactions[Net (SAR)],1):BankTransactions[[#This Row],[Net (SAR)]])</f>
        <v>2635631.3800000004</v>
      </c>
    </row>
    <row r="508" spans="1:8" x14ac:dyDescent="0.2">
      <c r="A508" s="5" t="s">
        <v>755</v>
      </c>
      <c r="B508" s="4">
        <v>46167</v>
      </c>
      <c r="C508" s="2" t="s">
        <v>24</v>
      </c>
      <c r="D508" s="12">
        <v>0</v>
      </c>
      <c r="E508" s="13">
        <v>21000</v>
      </c>
      <c r="F508" s="19" t="str" cm="1">
        <f t="array" ref="F508">IFERROR(LOOKUP(2^15,SEARCH(CategoryMap[Keyword],BankTransactions[[#This Row],[Description]]),CategoryMap[Category]),"Other")</f>
        <v>Loan Repayments</v>
      </c>
      <c r="G508" s="6">
        <f>BankTransactions[[#This Row],[Credit (SAR)]]-BankTransactions[[#This Row],[Debit (SAR)]]</f>
        <v>-21000</v>
      </c>
      <c r="H508" s="6">
        <f>Opening+SUM(INDEX(BankTransactions[Net (SAR)],1):BankTransactions[[#This Row],[Net (SAR)]])</f>
        <v>2614631.3800000004</v>
      </c>
    </row>
    <row r="509" spans="1:8" x14ac:dyDescent="0.2">
      <c r="A509" s="5" t="s">
        <v>756</v>
      </c>
      <c r="B509" s="4">
        <v>46169</v>
      </c>
      <c r="C509" s="2" t="s">
        <v>757</v>
      </c>
      <c r="D509" s="12">
        <v>13995.21</v>
      </c>
      <c r="E509" s="13">
        <v>0</v>
      </c>
      <c r="F509" s="19" t="str" cm="1">
        <f t="array" ref="F509">IFERROR(LOOKUP(2^15,SEARCH(CategoryMap[Keyword],BankTransactions[[#This Row],[Description]]),CategoryMap[Category]),"Other")</f>
        <v>Customer Receipts</v>
      </c>
      <c r="G509" s="6">
        <f>BankTransactions[[#This Row],[Credit (SAR)]]-BankTransactions[[#This Row],[Debit (SAR)]]</f>
        <v>13995.21</v>
      </c>
      <c r="H509" s="6">
        <f>Opening+SUM(INDEX(BankTransactions[Net (SAR)],1):BankTransactions[[#This Row],[Net (SAR)]])</f>
        <v>2628626.5900000003</v>
      </c>
    </row>
    <row r="510" spans="1:8" x14ac:dyDescent="0.2">
      <c r="A510" s="5" t="s">
        <v>758</v>
      </c>
      <c r="B510" s="4">
        <v>46169</v>
      </c>
      <c r="C510" s="2" t="s">
        <v>759</v>
      </c>
      <c r="D510" s="12">
        <v>12014.22</v>
      </c>
      <c r="E510" s="13">
        <v>0</v>
      </c>
      <c r="F510" s="19" t="str" cm="1">
        <f t="array" ref="F510">IFERROR(LOOKUP(2^15,SEARCH(CategoryMap[Keyword],BankTransactions[[#This Row],[Description]]),CategoryMap[Category]),"Other")</f>
        <v>Customer Receipts</v>
      </c>
      <c r="G510" s="6">
        <f>BankTransactions[[#This Row],[Credit (SAR)]]-BankTransactions[[#This Row],[Debit (SAR)]]</f>
        <v>12014.22</v>
      </c>
      <c r="H510" s="6">
        <f>Opening+SUM(INDEX(BankTransactions[Net (SAR)],1):BankTransactions[[#This Row],[Net (SAR)]])</f>
        <v>2640640.8100000005</v>
      </c>
    </row>
    <row r="511" spans="1:8" x14ac:dyDescent="0.2">
      <c r="A511" s="5" t="s">
        <v>760</v>
      </c>
      <c r="B511" s="4">
        <v>46169</v>
      </c>
      <c r="C511" s="2" t="s">
        <v>761</v>
      </c>
      <c r="D511" s="12">
        <v>2736.62</v>
      </c>
      <c r="E511" s="13">
        <v>0</v>
      </c>
      <c r="F511" s="19" t="str" cm="1">
        <f t="array" ref="F511">IFERROR(LOOKUP(2^15,SEARCH(CategoryMap[Keyword],BankTransactions[[#This Row],[Description]]),CategoryMap[Category]),"Other")</f>
        <v>Customer Receipts</v>
      </c>
      <c r="G511" s="6">
        <f>BankTransactions[[#This Row],[Credit (SAR)]]-BankTransactions[[#This Row],[Debit (SAR)]]</f>
        <v>2736.62</v>
      </c>
      <c r="H511" s="6">
        <f>Opening+SUM(INDEX(BankTransactions[Net (SAR)],1):BankTransactions[[#This Row],[Net (SAR)]])</f>
        <v>2643377.4300000002</v>
      </c>
    </row>
    <row r="512" spans="1:8" x14ac:dyDescent="0.2">
      <c r="A512" s="5" t="s">
        <v>762</v>
      </c>
      <c r="B512" s="4">
        <v>46169</v>
      </c>
      <c r="C512" s="2" t="s">
        <v>763</v>
      </c>
      <c r="D512" s="12">
        <v>1267.2</v>
      </c>
      <c r="E512" s="13">
        <v>0</v>
      </c>
      <c r="F512" s="19" t="str" cm="1">
        <f t="array" ref="F512">IFERROR(LOOKUP(2^15,SEARCH(CategoryMap[Keyword],BankTransactions[[#This Row],[Description]]),CategoryMap[Category]),"Other")</f>
        <v>Customer Receipts</v>
      </c>
      <c r="G512" s="6">
        <f>BankTransactions[[#This Row],[Credit (SAR)]]-BankTransactions[[#This Row],[Debit (SAR)]]</f>
        <v>1267.2</v>
      </c>
      <c r="H512" s="6">
        <f>Opening+SUM(INDEX(BankTransactions[Net (SAR)],1):BankTransactions[[#This Row],[Net (SAR)]])</f>
        <v>2644644.6300000004</v>
      </c>
    </row>
    <row r="513" spans="1:8" x14ac:dyDescent="0.2">
      <c r="A513" s="5" t="s">
        <v>764</v>
      </c>
      <c r="B513" s="4">
        <v>46169</v>
      </c>
      <c r="C513" s="2" t="s">
        <v>7</v>
      </c>
      <c r="D513" s="12">
        <v>0</v>
      </c>
      <c r="E513" s="13">
        <v>3970</v>
      </c>
      <c r="F513" s="19" t="str" cm="1">
        <f t="array" ref="F513">IFERROR(LOOKUP(2^15,SEARCH(CategoryMap[Keyword],BankTransactions[[#This Row],[Description]]),CategoryMap[Category]),"Other")</f>
        <v>Supplier Payments</v>
      </c>
      <c r="G513" s="6">
        <f>BankTransactions[[#This Row],[Credit (SAR)]]-BankTransactions[[#This Row],[Debit (SAR)]]</f>
        <v>-3970</v>
      </c>
      <c r="H513" s="6">
        <f>Opening+SUM(INDEX(BankTransactions[Net (SAR)],1):BankTransactions[[#This Row],[Net (SAR)]])</f>
        <v>2640674.6300000004</v>
      </c>
    </row>
    <row r="514" spans="1:8" x14ac:dyDescent="0.2">
      <c r="A514" s="5" t="s">
        <v>765</v>
      </c>
      <c r="B514" s="4">
        <v>46170</v>
      </c>
      <c r="C514" s="2" t="s">
        <v>766</v>
      </c>
      <c r="D514" s="12">
        <v>5460.8</v>
      </c>
      <c r="E514" s="13">
        <v>0</v>
      </c>
      <c r="F514" s="19" t="str" cm="1">
        <f t="array" ref="F514">IFERROR(LOOKUP(2^15,SEARCH(CategoryMap[Keyword],BankTransactions[[#This Row],[Description]]),CategoryMap[Category]),"Other")</f>
        <v>Customer Receipts</v>
      </c>
      <c r="G514" s="6">
        <f>BankTransactions[[#This Row],[Credit (SAR)]]-BankTransactions[[#This Row],[Debit (SAR)]]</f>
        <v>5460.8</v>
      </c>
      <c r="H514" s="6">
        <f>Opening+SUM(INDEX(BankTransactions[Net (SAR)],1):BankTransactions[[#This Row],[Net (SAR)]])</f>
        <v>2646135.4300000002</v>
      </c>
    </row>
    <row r="515" spans="1:8" x14ac:dyDescent="0.2">
      <c r="A515" s="5" t="s">
        <v>767</v>
      </c>
      <c r="B515" s="4">
        <v>46171</v>
      </c>
      <c r="C515" s="2" t="s">
        <v>768</v>
      </c>
      <c r="D515" s="12">
        <v>16841.7</v>
      </c>
      <c r="E515" s="13">
        <v>0</v>
      </c>
      <c r="F515" s="19" t="str" cm="1">
        <f t="array" ref="F515">IFERROR(LOOKUP(2^15,SEARCH(CategoryMap[Keyword],BankTransactions[[#This Row],[Description]]),CategoryMap[Category]),"Other")</f>
        <v>Customer Receipts</v>
      </c>
      <c r="G515" s="6">
        <f>BankTransactions[[#This Row],[Credit (SAR)]]-BankTransactions[[#This Row],[Debit (SAR)]]</f>
        <v>16841.7</v>
      </c>
      <c r="H515" s="6">
        <f>Opening+SUM(INDEX(BankTransactions[Net (SAR)],1):BankTransactions[[#This Row],[Net (SAR)]])</f>
        <v>2662977.1300000004</v>
      </c>
    </row>
    <row r="516" spans="1:8" x14ac:dyDescent="0.2">
      <c r="A516" s="5" t="s">
        <v>769</v>
      </c>
      <c r="B516" s="4">
        <v>46171</v>
      </c>
      <c r="C516" s="2" t="s">
        <v>770</v>
      </c>
      <c r="D516" s="12">
        <v>3842.15</v>
      </c>
      <c r="E516" s="13">
        <v>0</v>
      </c>
      <c r="F516" s="19" t="str" cm="1">
        <f t="array" ref="F516">IFERROR(LOOKUP(2^15,SEARCH(CategoryMap[Keyword],BankTransactions[[#This Row],[Description]]),CategoryMap[Category]),"Other")</f>
        <v>Customer Receipts</v>
      </c>
      <c r="G516" s="6">
        <f>BankTransactions[[#This Row],[Credit (SAR)]]-BankTransactions[[#This Row],[Debit (SAR)]]</f>
        <v>3842.15</v>
      </c>
      <c r="H516" s="6">
        <f>Opening+SUM(INDEX(BankTransactions[Net (SAR)],1):BankTransactions[[#This Row],[Net (SAR)]])</f>
        <v>2666819.2800000003</v>
      </c>
    </row>
    <row r="517" spans="1:8" x14ac:dyDescent="0.2">
      <c r="A517" s="5" t="s">
        <v>771</v>
      </c>
      <c r="B517" s="4">
        <v>46171</v>
      </c>
      <c r="C517" s="2" t="s">
        <v>7</v>
      </c>
      <c r="D517" s="12">
        <v>0</v>
      </c>
      <c r="E517" s="13">
        <v>20295.57</v>
      </c>
      <c r="F517" s="19" t="str" cm="1">
        <f t="array" ref="F517">IFERROR(LOOKUP(2^15,SEARCH(CategoryMap[Keyword],BankTransactions[[#This Row],[Description]]),CategoryMap[Category]),"Other")</f>
        <v>Supplier Payments</v>
      </c>
      <c r="G517" s="6">
        <f>BankTransactions[[#This Row],[Credit (SAR)]]-BankTransactions[[#This Row],[Debit (SAR)]]</f>
        <v>-20295.57</v>
      </c>
      <c r="H517" s="6">
        <f>Opening+SUM(INDEX(BankTransactions[Net (SAR)],1):BankTransactions[[#This Row],[Net (SAR)]])</f>
        <v>2646523.7100000004</v>
      </c>
    </row>
    <row r="518" spans="1:8" x14ac:dyDescent="0.2">
      <c r="A518" s="5" t="s">
        <v>772</v>
      </c>
      <c r="B518" s="4">
        <v>46172</v>
      </c>
      <c r="C518" s="2" t="s">
        <v>773</v>
      </c>
      <c r="D518" s="12">
        <v>8021.95</v>
      </c>
      <c r="E518" s="13">
        <v>0</v>
      </c>
      <c r="F518" s="19" t="str" cm="1">
        <f t="array" ref="F518">IFERROR(LOOKUP(2^15,SEARCH(CategoryMap[Keyword],BankTransactions[[#This Row],[Description]]),CategoryMap[Category]),"Other")</f>
        <v>Customer Receipts</v>
      </c>
      <c r="G518" s="6">
        <f>BankTransactions[[#This Row],[Credit (SAR)]]-BankTransactions[[#This Row],[Debit (SAR)]]</f>
        <v>8021.95</v>
      </c>
      <c r="H518" s="6">
        <f>Opening+SUM(INDEX(BankTransactions[Net (SAR)],1):BankTransactions[[#This Row],[Net (SAR)]])</f>
        <v>2654545.66</v>
      </c>
    </row>
    <row r="519" spans="1:8" x14ac:dyDescent="0.2">
      <c r="A519" s="5" t="s">
        <v>774</v>
      </c>
      <c r="B519" s="4">
        <v>46172</v>
      </c>
      <c r="C519" s="2" t="s">
        <v>207</v>
      </c>
      <c r="D519" s="12">
        <v>22865.14</v>
      </c>
      <c r="E519" s="13">
        <v>0</v>
      </c>
      <c r="F519" s="19" t="str" cm="1">
        <f t="array" ref="F519">IFERROR(LOOKUP(2^15,SEARCH(CategoryMap[Keyword],BankTransactions[[#This Row],[Description]]),CategoryMap[Category]),"Other")</f>
        <v>Customer Receipts</v>
      </c>
      <c r="G519" s="6">
        <f>BankTransactions[[#This Row],[Credit (SAR)]]-BankTransactions[[#This Row],[Debit (SAR)]]</f>
        <v>22865.14</v>
      </c>
      <c r="H519" s="6">
        <f>Opening+SUM(INDEX(BankTransactions[Net (SAR)],1):BankTransactions[[#This Row],[Net (SAR)]])</f>
        <v>2677410.8000000003</v>
      </c>
    </row>
    <row r="520" spans="1:8" x14ac:dyDescent="0.2">
      <c r="A520" s="5" t="s">
        <v>775</v>
      </c>
      <c r="B520" s="4">
        <v>46172</v>
      </c>
      <c r="C520" s="2" t="s">
        <v>776</v>
      </c>
      <c r="D520" s="12">
        <v>10123.64</v>
      </c>
      <c r="E520" s="13">
        <v>0</v>
      </c>
      <c r="F520" s="19" t="str" cm="1">
        <f t="array" ref="F520">IFERROR(LOOKUP(2^15,SEARCH(CategoryMap[Keyword],BankTransactions[[#This Row],[Description]]),CategoryMap[Category]),"Other")</f>
        <v>Customer Receipts</v>
      </c>
      <c r="G520" s="6">
        <f>BankTransactions[[#This Row],[Credit (SAR)]]-BankTransactions[[#This Row],[Debit (SAR)]]</f>
        <v>10123.64</v>
      </c>
      <c r="H520" s="6">
        <f>Opening+SUM(INDEX(BankTransactions[Net (SAR)],1):BankTransactions[[#This Row],[Net (SAR)]])</f>
        <v>2687534.4400000004</v>
      </c>
    </row>
    <row r="521" spans="1:8" x14ac:dyDescent="0.2">
      <c r="A521" s="5" t="s">
        <v>777</v>
      </c>
      <c r="B521" s="4">
        <v>46172</v>
      </c>
      <c r="C521" s="2" t="s">
        <v>12</v>
      </c>
      <c r="D521" s="12">
        <v>12255.13</v>
      </c>
      <c r="E521" s="13">
        <v>0</v>
      </c>
      <c r="F521" s="19" t="str" cm="1">
        <f t="array" ref="F521">IFERROR(LOOKUP(2^15,SEARCH(CategoryMap[Keyword],BankTransactions[[#This Row],[Description]]),CategoryMap[Category]),"Other")</f>
        <v>Cash Deposits</v>
      </c>
      <c r="G521" s="6">
        <f>BankTransactions[[#This Row],[Credit (SAR)]]-BankTransactions[[#This Row],[Debit (SAR)]]</f>
        <v>12255.13</v>
      </c>
      <c r="H521" s="6">
        <f>Opening+SUM(INDEX(BankTransactions[Net (SAR)],1):BankTransactions[[#This Row],[Net (SAR)]])</f>
        <v>2699789.5700000003</v>
      </c>
    </row>
    <row r="522" spans="1:8" x14ac:dyDescent="0.2">
      <c r="A522" s="5" t="s">
        <v>778</v>
      </c>
      <c r="B522" s="4">
        <v>46172</v>
      </c>
      <c r="C522" s="2" t="s">
        <v>3</v>
      </c>
      <c r="D522" s="12">
        <v>0</v>
      </c>
      <c r="E522" s="13">
        <v>39547.269999999997</v>
      </c>
      <c r="F522" s="19" t="str" cm="1">
        <f t="array" ref="F522">IFERROR(LOOKUP(2^15,SEARCH(CategoryMap[Keyword],BankTransactions[[#This Row],[Description]]),CategoryMap[Category]),"Other")</f>
        <v>Supplier Payments</v>
      </c>
      <c r="G522" s="6">
        <f>BankTransactions[[#This Row],[Credit (SAR)]]-BankTransactions[[#This Row],[Debit (SAR)]]</f>
        <v>-39547.269999999997</v>
      </c>
      <c r="H522" s="6">
        <f>Opening+SUM(INDEX(BankTransactions[Net (SAR)],1):BankTransactions[[#This Row],[Net (SAR)]])</f>
        <v>2660242.3000000003</v>
      </c>
    </row>
    <row r="523" spans="1:8" x14ac:dyDescent="0.2">
      <c r="A523" s="5" t="s">
        <v>779</v>
      </c>
      <c r="B523" s="4">
        <v>46173</v>
      </c>
      <c r="C523" s="2" t="s">
        <v>7</v>
      </c>
      <c r="D523" s="12">
        <v>0</v>
      </c>
      <c r="E523" s="13">
        <v>48813.3</v>
      </c>
      <c r="F523" s="19" t="str" cm="1">
        <f t="array" ref="F523">IFERROR(LOOKUP(2^15,SEARCH(CategoryMap[Keyword],BankTransactions[[#This Row],[Description]]),CategoryMap[Category]),"Other")</f>
        <v>Supplier Payments</v>
      </c>
      <c r="G523" s="6">
        <f>BankTransactions[[#This Row],[Credit (SAR)]]-BankTransactions[[#This Row],[Debit (SAR)]]</f>
        <v>-48813.3</v>
      </c>
      <c r="H523" s="6">
        <f>Opening+SUM(INDEX(BankTransactions[Net (SAR)],1):BankTransactions[[#This Row],[Net (SAR)]])</f>
        <v>2611429.0000000005</v>
      </c>
    </row>
    <row r="524" spans="1:8" x14ac:dyDescent="0.2">
      <c r="A524" s="5" t="s">
        <v>780</v>
      </c>
      <c r="B524" s="4">
        <v>46173</v>
      </c>
      <c r="C524" s="2" t="s">
        <v>10</v>
      </c>
      <c r="D524" s="12">
        <v>0</v>
      </c>
      <c r="E524" s="13">
        <v>7350.81</v>
      </c>
      <c r="F524" s="19" t="str" cm="1">
        <f t="array" ref="F524">IFERROR(LOOKUP(2^15,SEARCH(CategoryMap[Keyword],BankTransactions[[#This Row],[Description]]),CategoryMap[Category]),"Other")</f>
        <v>Fuel &amp; Logistics</v>
      </c>
      <c r="G524" s="6">
        <f>BankTransactions[[#This Row],[Credit (SAR)]]-BankTransactions[[#This Row],[Debit (SAR)]]</f>
        <v>-7350.81</v>
      </c>
      <c r="H524" s="6">
        <f>Opening+SUM(INDEX(BankTransactions[Net (SAR)],1):BankTransactions[[#This Row],[Net (SAR)]])</f>
        <v>2604078.1900000004</v>
      </c>
    </row>
    <row r="525" spans="1:8" x14ac:dyDescent="0.2">
      <c r="A525" s="5" t="s">
        <v>781</v>
      </c>
      <c r="B525" s="4">
        <v>46174</v>
      </c>
      <c r="C525" s="2" t="s">
        <v>1</v>
      </c>
      <c r="D525" s="12">
        <v>0</v>
      </c>
      <c r="E525" s="13">
        <v>38000</v>
      </c>
      <c r="F525" s="19" t="str" cm="1">
        <f t="array" ref="F525">IFERROR(LOOKUP(2^15,SEARCH(CategoryMap[Keyword],BankTransactions[[#This Row],[Description]]),CategoryMap[Category]),"Other")</f>
        <v>Rent</v>
      </c>
      <c r="G525" s="6">
        <f>BankTransactions[[#This Row],[Credit (SAR)]]-BankTransactions[[#This Row],[Debit (SAR)]]</f>
        <v>-38000</v>
      </c>
      <c r="H525" s="6">
        <f>Opening+SUM(INDEX(BankTransactions[Net (SAR)],1):BankTransactions[[#This Row],[Net (SAR)]])</f>
        <v>2566078.1900000004</v>
      </c>
    </row>
    <row r="526" spans="1:8" x14ac:dyDescent="0.2">
      <c r="A526" s="5" t="s">
        <v>782</v>
      </c>
      <c r="B526" s="4">
        <v>46175</v>
      </c>
      <c r="C526" s="2" t="s">
        <v>3</v>
      </c>
      <c r="D526" s="12">
        <v>0</v>
      </c>
      <c r="E526" s="13">
        <v>39738.050000000003</v>
      </c>
      <c r="F526" s="19" t="str" cm="1">
        <f t="array" ref="F526">IFERROR(LOOKUP(2^15,SEARCH(CategoryMap[Keyword],BankTransactions[[#This Row],[Description]]),CategoryMap[Category]),"Other")</f>
        <v>Supplier Payments</v>
      </c>
      <c r="G526" s="6">
        <f>BankTransactions[[#This Row],[Credit (SAR)]]-BankTransactions[[#This Row],[Debit (SAR)]]</f>
        <v>-39738.050000000003</v>
      </c>
      <c r="H526" s="6">
        <f>Opening+SUM(INDEX(BankTransactions[Net (SAR)],1):BankTransactions[[#This Row],[Net (SAR)]])</f>
        <v>2526340.1400000006</v>
      </c>
    </row>
    <row r="527" spans="1:8" x14ac:dyDescent="0.2">
      <c r="A527" s="5" t="s">
        <v>783</v>
      </c>
      <c r="B527" s="4">
        <v>46176</v>
      </c>
      <c r="C527" s="2" t="s">
        <v>784</v>
      </c>
      <c r="D527" s="12">
        <v>5590.36</v>
      </c>
      <c r="E527" s="13">
        <v>0</v>
      </c>
      <c r="F527" s="19" t="str" cm="1">
        <f t="array" ref="F527">IFERROR(LOOKUP(2^15,SEARCH(CategoryMap[Keyword],BankTransactions[[#This Row],[Description]]),CategoryMap[Category]),"Other")</f>
        <v>Customer Receipts</v>
      </c>
      <c r="G527" s="6">
        <f>BankTransactions[[#This Row],[Credit (SAR)]]-BankTransactions[[#This Row],[Debit (SAR)]]</f>
        <v>5590.36</v>
      </c>
      <c r="H527" s="6">
        <f>Opening+SUM(INDEX(BankTransactions[Net (SAR)],1):BankTransactions[[#This Row],[Net (SAR)]])</f>
        <v>2531930.5000000005</v>
      </c>
    </row>
    <row r="528" spans="1:8" x14ac:dyDescent="0.2">
      <c r="A528" s="5" t="s">
        <v>785</v>
      </c>
      <c r="B528" s="4">
        <v>46176</v>
      </c>
      <c r="C528" s="2" t="s">
        <v>786</v>
      </c>
      <c r="D528" s="12">
        <v>2748.37</v>
      </c>
      <c r="E528" s="13">
        <v>0</v>
      </c>
      <c r="F528" s="19" t="str" cm="1">
        <f t="array" ref="F528">IFERROR(LOOKUP(2^15,SEARCH(CategoryMap[Keyword],BankTransactions[[#This Row],[Description]]),CategoryMap[Category]),"Other")</f>
        <v>Customer Receipts</v>
      </c>
      <c r="G528" s="6">
        <f>BankTransactions[[#This Row],[Credit (SAR)]]-BankTransactions[[#This Row],[Debit (SAR)]]</f>
        <v>2748.37</v>
      </c>
      <c r="H528" s="6">
        <f>Opening+SUM(INDEX(BankTransactions[Net (SAR)],1):BankTransactions[[#This Row],[Net (SAR)]])</f>
        <v>2534678.8700000006</v>
      </c>
    </row>
    <row r="529" spans="1:8" x14ac:dyDescent="0.2">
      <c r="A529" s="5" t="s">
        <v>787</v>
      </c>
      <c r="B529" s="4">
        <v>46176</v>
      </c>
      <c r="C529" s="2" t="s">
        <v>190</v>
      </c>
      <c r="D529" s="12">
        <v>2406.89</v>
      </c>
      <c r="E529" s="13">
        <v>0</v>
      </c>
      <c r="F529" s="19" t="str" cm="1">
        <f t="array" ref="F529">IFERROR(LOOKUP(2^15,SEARCH(CategoryMap[Keyword],BankTransactions[[#This Row],[Description]]),CategoryMap[Category]),"Other")</f>
        <v>Customer Receipts</v>
      </c>
      <c r="G529" s="6">
        <f>BankTransactions[[#This Row],[Credit (SAR)]]-BankTransactions[[#This Row],[Debit (SAR)]]</f>
        <v>2406.89</v>
      </c>
      <c r="H529" s="6">
        <f>Opening+SUM(INDEX(BankTransactions[Net (SAR)],1):BankTransactions[[#This Row],[Net (SAR)]])</f>
        <v>2537085.7600000002</v>
      </c>
    </row>
    <row r="530" spans="1:8" x14ac:dyDescent="0.2">
      <c r="A530" s="5" t="s">
        <v>788</v>
      </c>
      <c r="B530" s="4">
        <v>46177</v>
      </c>
      <c r="C530" s="2" t="s">
        <v>789</v>
      </c>
      <c r="D530" s="12">
        <v>11772.78</v>
      </c>
      <c r="E530" s="13">
        <v>0</v>
      </c>
      <c r="F530" s="19" t="str" cm="1">
        <f t="array" ref="F530">IFERROR(LOOKUP(2^15,SEARCH(CategoryMap[Keyword],BankTransactions[[#This Row],[Description]]),CategoryMap[Category]),"Other")</f>
        <v>Customer Receipts</v>
      </c>
      <c r="G530" s="6">
        <f>BankTransactions[[#This Row],[Credit (SAR)]]-BankTransactions[[#This Row],[Debit (SAR)]]</f>
        <v>11772.78</v>
      </c>
      <c r="H530" s="6">
        <f>Opening+SUM(INDEX(BankTransactions[Net (SAR)],1):BankTransactions[[#This Row],[Net (SAR)]])</f>
        <v>2548858.5400000005</v>
      </c>
    </row>
    <row r="531" spans="1:8" x14ac:dyDescent="0.2">
      <c r="A531" s="5" t="s">
        <v>790</v>
      </c>
      <c r="B531" s="4">
        <v>46177</v>
      </c>
      <c r="C531" s="2" t="s">
        <v>791</v>
      </c>
      <c r="D531" s="12">
        <v>10481.24</v>
      </c>
      <c r="E531" s="13">
        <v>0</v>
      </c>
      <c r="F531" s="19" t="str" cm="1">
        <f t="array" ref="F531">IFERROR(LOOKUP(2^15,SEARCH(CategoryMap[Keyword],BankTransactions[[#This Row],[Description]]),CategoryMap[Category]),"Other")</f>
        <v>Customer Receipts</v>
      </c>
      <c r="G531" s="6">
        <f>BankTransactions[[#This Row],[Credit (SAR)]]-BankTransactions[[#This Row],[Debit (SAR)]]</f>
        <v>10481.24</v>
      </c>
      <c r="H531" s="6">
        <f>Opening+SUM(INDEX(BankTransactions[Net (SAR)],1):BankTransactions[[#This Row],[Net (SAR)]])</f>
        <v>2559339.7800000003</v>
      </c>
    </row>
    <row r="532" spans="1:8" x14ac:dyDescent="0.2">
      <c r="A532" s="5" t="s">
        <v>792</v>
      </c>
      <c r="B532" s="4">
        <v>46177</v>
      </c>
      <c r="C532" s="2" t="s">
        <v>793</v>
      </c>
      <c r="D532" s="12">
        <v>39292.1</v>
      </c>
      <c r="E532" s="13">
        <v>0</v>
      </c>
      <c r="F532" s="19" t="str" cm="1">
        <f t="array" ref="F532">IFERROR(LOOKUP(2^15,SEARCH(CategoryMap[Keyword],BankTransactions[[#This Row],[Description]]),CategoryMap[Category]),"Other")</f>
        <v>Customer Receipts</v>
      </c>
      <c r="G532" s="6">
        <f>BankTransactions[[#This Row],[Credit (SAR)]]-BankTransactions[[#This Row],[Debit (SAR)]]</f>
        <v>39292.1</v>
      </c>
      <c r="H532" s="6">
        <f>Opening+SUM(INDEX(BankTransactions[Net (SAR)],1):BankTransactions[[#This Row],[Net (SAR)]])</f>
        <v>2598631.8800000004</v>
      </c>
    </row>
    <row r="533" spans="1:8" x14ac:dyDescent="0.2">
      <c r="A533" s="5" t="s">
        <v>794</v>
      </c>
      <c r="B533" s="4">
        <v>46178</v>
      </c>
      <c r="C533" s="2" t="s">
        <v>7</v>
      </c>
      <c r="D533" s="12">
        <v>0</v>
      </c>
      <c r="E533" s="13">
        <v>0</v>
      </c>
      <c r="F533" s="19" t="str" cm="1">
        <f t="array" ref="F533">IFERROR(LOOKUP(2^15,SEARCH(CategoryMap[Keyword],BankTransactions[[#This Row],[Description]]),CategoryMap[Category]),"Other")</f>
        <v>Supplier Payments</v>
      </c>
      <c r="G533" s="6">
        <f>BankTransactions[[#This Row],[Credit (SAR)]]-BankTransactions[[#This Row],[Debit (SAR)]]</f>
        <v>0</v>
      </c>
      <c r="H533" s="6">
        <f>Opening+SUM(INDEX(BankTransactions[Net (SAR)],1):BankTransactions[[#This Row],[Net (SAR)]])</f>
        <v>2598631.8800000004</v>
      </c>
    </row>
    <row r="534" spans="1:8" x14ac:dyDescent="0.2">
      <c r="A534" s="5" t="s">
        <v>795</v>
      </c>
      <c r="B534" s="4">
        <v>46179</v>
      </c>
      <c r="C534" s="2" t="s">
        <v>796</v>
      </c>
      <c r="D534" s="12">
        <v>2899.03</v>
      </c>
      <c r="E534" s="13">
        <v>0</v>
      </c>
      <c r="F534" s="19" t="str" cm="1">
        <f t="array" ref="F534">IFERROR(LOOKUP(2^15,SEARCH(CategoryMap[Keyword],BankTransactions[[#This Row],[Description]]),CategoryMap[Category]),"Other")</f>
        <v>Customer Receipts</v>
      </c>
      <c r="G534" s="6">
        <f>BankTransactions[[#This Row],[Credit (SAR)]]-BankTransactions[[#This Row],[Debit (SAR)]]</f>
        <v>2899.03</v>
      </c>
      <c r="H534" s="6">
        <f>Opening+SUM(INDEX(BankTransactions[Net (SAR)],1):BankTransactions[[#This Row],[Net (SAR)]])</f>
        <v>2601530.91</v>
      </c>
    </row>
    <row r="535" spans="1:8" x14ac:dyDescent="0.2">
      <c r="A535" s="5" t="s">
        <v>797</v>
      </c>
      <c r="B535" s="4">
        <v>46179</v>
      </c>
      <c r="C535" s="2" t="s">
        <v>798</v>
      </c>
      <c r="D535" s="12">
        <v>3411.19</v>
      </c>
      <c r="E535" s="13">
        <v>0</v>
      </c>
      <c r="F535" s="19" t="str" cm="1">
        <f t="array" ref="F535">IFERROR(LOOKUP(2^15,SEARCH(CategoryMap[Keyword],BankTransactions[[#This Row],[Description]]),CategoryMap[Category]),"Other")</f>
        <v>Customer Receipts</v>
      </c>
      <c r="G535" s="6">
        <f>BankTransactions[[#This Row],[Credit (SAR)]]-BankTransactions[[#This Row],[Debit (SAR)]]</f>
        <v>3411.19</v>
      </c>
      <c r="H535" s="6">
        <f>Opening+SUM(INDEX(BankTransactions[Net (SAR)],1):BankTransactions[[#This Row],[Net (SAR)]])</f>
        <v>2604942.1000000006</v>
      </c>
    </row>
    <row r="536" spans="1:8" x14ac:dyDescent="0.2">
      <c r="A536" s="5" t="s">
        <v>799</v>
      </c>
      <c r="B536" s="4">
        <v>46179</v>
      </c>
      <c r="C536" s="2" t="s">
        <v>186</v>
      </c>
      <c r="D536" s="12">
        <v>3478.85</v>
      </c>
      <c r="E536" s="13">
        <v>0</v>
      </c>
      <c r="F536" s="19" t="str" cm="1">
        <f t="array" ref="F536">IFERROR(LOOKUP(2^15,SEARCH(CategoryMap[Keyword],BankTransactions[[#This Row],[Description]]),CategoryMap[Category]),"Other")</f>
        <v>Customer Receipts</v>
      </c>
      <c r="G536" s="6">
        <f>BankTransactions[[#This Row],[Credit (SAR)]]-BankTransactions[[#This Row],[Debit (SAR)]]</f>
        <v>3478.85</v>
      </c>
      <c r="H536" s="6">
        <f>Opening+SUM(INDEX(BankTransactions[Net (SAR)],1):BankTransactions[[#This Row],[Net (SAR)]])</f>
        <v>2608420.9500000002</v>
      </c>
    </row>
    <row r="537" spans="1:8" x14ac:dyDescent="0.2">
      <c r="A537" s="5" t="s">
        <v>800</v>
      </c>
      <c r="B537" s="4">
        <v>46179</v>
      </c>
      <c r="C537" s="2" t="s">
        <v>10</v>
      </c>
      <c r="D537" s="12">
        <v>0</v>
      </c>
      <c r="E537" s="13">
        <v>12718.16</v>
      </c>
      <c r="F537" s="19" t="str" cm="1">
        <f t="array" ref="F537">IFERROR(LOOKUP(2^15,SEARCH(CategoryMap[Keyword],BankTransactions[[#This Row],[Description]]),CategoryMap[Category]),"Other")</f>
        <v>Fuel &amp; Logistics</v>
      </c>
      <c r="G537" s="6">
        <f>BankTransactions[[#This Row],[Credit (SAR)]]-BankTransactions[[#This Row],[Debit (SAR)]]</f>
        <v>-12718.16</v>
      </c>
      <c r="H537" s="6">
        <f>Opening+SUM(INDEX(BankTransactions[Net (SAR)],1):BankTransactions[[#This Row],[Net (SAR)]])</f>
        <v>2595702.7900000005</v>
      </c>
    </row>
    <row r="538" spans="1:8" x14ac:dyDescent="0.2">
      <c r="A538" s="5" t="s">
        <v>801</v>
      </c>
      <c r="B538" s="4">
        <v>46179</v>
      </c>
      <c r="C538" s="2" t="s">
        <v>7</v>
      </c>
      <c r="D538" s="12">
        <v>0</v>
      </c>
      <c r="E538" s="13">
        <v>58423.22</v>
      </c>
      <c r="F538" s="19" t="str" cm="1">
        <f t="array" ref="F538">IFERROR(LOOKUP(2^15,SEARCH(CategoryMap[Keyword],BankTransactions[[#This Row],[Description]]),CategoryMap[Category]),"Other")</f>
        <v>Supplier Payments</v>
      </c>
      <c r="G538" s="6">
        <f>BankTransactions[[#This Row],[Credit (SAR)]]-BankTransactions[[#This Row],[Debit (SAR)]]</f>
        <v>-58423.22</v>
      </c>
      <c r="H538" s="6">
        <f>Opening+SUM(INDEX(BankTransactions[Net (SAR)],1):BankTransactions[[#This Row],[Net (SAR)]])</f>
        <v>2537279.5700000003</v>
      </c>
    </row>
    <row r="539" spans="1:8" x14ac:dyDescent="0.2">
      <c r="A539" s="5" t="s">
        <v>802</v>
      </c>
      <c r="B539" s="4">
        <v>46180</v>
      </c>
      <c r="C539" s="2" t="s">
        <v>803</v>
      </c>
      <c r="D539" s="12">
        <v>47213.36</v>
      </c>
      <c r="E539" s="13">
        <v>0</v>
      </c>
      <c r="F539" s="19" t="str" cm="1">
        <f t="array" ref="F539">IFERROR(LOOKUP(2^15,SEARCH(CategoryMap[Keyword],BankTransactions[[#This Row],[Description]]),CategoryMap[Category]),"Other")</f>
        <v>Customer Receipts</v>
      </c>
      <c r="G539" s="6">
        <f>BankTransactions[[#This Row],[Credit (SAR)]]-BankTransactions[[#This Row],[Debit (SAR)]]</f>
        <v>47213.36</v>
      </c>
      <c r="H539" s="6">
        <f>Opening+SUM(INDEX(BankTransactions[Net (SAR)],1):BankTransactions[[#This Row],[Net (SAR)]])</f>
        <v>2584492.9300000002</v>
      </c>
    </row>
    <row r="540" spans="1:8" x14ac:dyDescent="0.2">
      <c r="A540" s="5" t="s">
        <v>804</v>
      </c>
      <c r="B540" s="4">
        <v>46180</v>
      </c>
      <c r="C540" s="2" t="s">
        <v>805</v>
      </c>
      <c r="D540" s="12">
        <v>2280.9299999999998</v>
      </c>
      <c r="E540" s="13">
        <v>0</v>
      </c>
      <c r="F540" s="19" t="str" cm="1">
        <f t="array" ref="F540">IFERROR(LOOKUP(2^15,SEARCH(CategoryMap[Keyword],BankTransactions[[#This Row],[Description]]),CategoryMap[Category]),"Other")</f>
        <v>Customer Receipts</v>
      </c>
      <c r="G540" s="6">
        <f>BankTransactions[[#This Row],[Credit (SAR)]]-BankTransactions[[#This Row],[Debit (SAR)]]</f>
        <v>2280.9299999999998</v>
      </c>
      <c r="H540" s="6">
        <f>Opening+SUM(INDEX(BankTransactions[Net (SAR)],1):BankTransactions[[#This Row],[Net (SAR)]])</f>
        <v>2586773.8600000003</v>
      </c>
    </row>
    <row r="541" spans="1:8" x14ac:dyDescent="0.2">
      <c r="A541" s="5" t="s">
        <v>806</v>
      </c>
      <c r="B541" s="4">
        <v>46180</v>
      </c>
      <c r="C541" s="2" t="s">
        <v>807</v>
      </c>
      <c r="D541" s="12">
        <v>6347.22</v>
      </c>
      <c r="E541" s="13">
        <v>0</v>
      </c>
      <c r="F541" s="19" t="str" cm="1">
        <f t="array" ref="F541">IFERROR(LOOKUP(2^15,SEARCH(CategoryMap[Keyword],BankTransactions[[#This Row],[Description]]),CategoryMap[Category]),"Other")</f>
        <v>Customer Receipts</v>
      </c>
      <c r="G541" s="6">
        <f>BankTransactions[[#This Row],[Credit (SAR)]]-BankTransactions[[#This Row],[Debit (SAR)]]</f>
        <v>6347.22</v>
      </c>
      <c r="H541" s="6">
        <f>Opening+SUM(INDEX(BankTransactions[Net (SAR)],1):BankTransactions[[#This Row],[Net (SAR)]])</f>
        <v>2593121.0800000005</v>
      </c>
    </row>
    <row r="542" spans="1:8" x14ac:dyDescent="0.2">
      <c r="A542" s="5" t="s">
        <v>808</v>
      </c>
      <c r="B542" s="4">
        <v>46181</v>
      </c>
      <c r="C542" s="2" t="s">
        <v>809</v>
      </c>
      <c r="D542" s="12">
        <v>8880.44</v>
      </c>
      <c r="E542" s="13">
        <v>0</v>
      </c>
      <c r="F542" s="19" t="str" cm="1">
        <f t="array" ref="F542">IFERROR(LOOKUP(2^15,SEARCH(CategoryMap[Keyword],BankTransactions[[#This Row],[Description]]),CategoryMap[Category]),"Other")</f>
        <v>Customer Receipts</v>
      </c>
      <c r="G542" s="6">
        <f>BankTransactions[[#This Row],[Credit (SAR)]]-BankTransactions[[#This Row],[Debit (SAR)]]</f>
        <v>8880.44</v>
      </c>
      <c r="H542" s="6">
        <f>Opening+SUM(INDEX(BankTransactions[Net (SAR)],1):BankTransactions[[#This Row],[Net (SAR)]])</f>
        <v>2602001.5200000005</v>
      </c>
    </row>
    <row r="543" spans="1:8" x14ac:dyDescent="0.2">
      <c r="A543" s="5" t="s">
        <v>810</v>
      </c>
      <c r="B543" s="4">
        <v>46181</v>
      </c>
      <c r="C543" s="2" t="s">
        <v>195</v>
      </c>
      <c r="D543" s="12">
        <v>7104.12</v>
      </c>
      <c r="E543" s="13">
        <v>0</v>
      </c>
      <c r="F543" s="19" t="str" cm="1">
        <f t="array" ref="F543">IFERROR(LOOKUP(2^15,SEARCH(CategoryMap[Keyword],BankTransactions[[#This Row],[Description]]),CategoryMap[Category]),"Other")</f>
        <v>Customer Receipts</v>
      </c>
      <c r="G543" s="6">
        <f>BankTransactions[[#This Row],[Credit (SAR)]]-BankTransactions[[#This Row],[Debit (SAR)]]</f>
        <v>7104.12</v>
      </c>
      <c r="H543" s="6">
        <f>Opening+SUM(INDEX(BankTransactions[Net (SAR)],1):BankTransactions[[#This Row],[Net (SAR)]])</f>
        <v>2609105.64</v>
      </c>
    </row>
    <row r="544" spans="1:8" x14ac:dyDescent="0.2">
      <c r="A544" s="5" t="s">
        <v>811</v>
      </c>
      <c r="B544" s="4">
        <v>46181</v>
      </c>
      <c r="C544" s="2" t="s">
        <v>812</v>
      </c>
      <c r="D544" s="12">
        <v>5955.62</v>
      </c>
      <c r="E544" s="13">
        <v>0</v>
      </c>
      <c r="F544" s="19" t="str" cm="1">
        <f t="array" ref="F544">IFERROR(LOOKUP(2^15,SEARCH(CategoryMap[Keyword],BankTransactions[[#This Row],[Description]]),CategoryMap[Category]),"Other")</f>
        <v>Customer Receipts</v>
      </c>
      <c r="G544" s="6">
        <f>BankTransactions[[#This Row],[Credit (SAR)]]-BankTransactions[[#This Row],[Debit (SAR)]]</f>
        <v>5955.62</v>
      </c>
      <c r="H544" s="6">
        <f>Opening+SUM(INDEX(BankTransactions[Net (SAR)],1):BankTransactions[[#This Row],[Net (SAR)]])</f>
        <v>2615061.2600000002</v>
      </c>
    </row>
    <row r="545" spans="1:8" x14ac:dyDescent="0.2">
      <c r="A545" s="5" t="s">
        <v>813</v>
      </c>
      <c r="B545" s="4">
        <v>46181</v>
      </c>
      <c r="C545" s="2" t="s">
        <v>7</v>
      </c>
      <c r="D545" s="12">
        <v>0</v>
      </c>
      <c r="E545" s="13">
        <v>12823.91</v>
      </c>
      <c r="F545" s="19" t="str" cm="1">
        <f t="array" ref="F545">IFERROR(LOOKUP(2^15,SEARCH(CategoryMap[Keyword],BankTransactions[[#This Row],[Description]]),CategoryMap[Category]),"Other")</f>
        <v>Supplier Payments</v>
      </c>
      <c r="G545" s="6">
        <f>BankTransactions[[#This Row],[Credit (SAR)]]-BankTransactions[[#This Row],[Debit (SAR)]]</f>
        <v>-12823.91</v>
      </c>
      <c r="H545" s="6">
        <f>Opening+SUM(INDEX(BankTransactions[Net (SAR)],1):BankTransactions[[#This Row],[Net (SAR)]])</f>
        <v>2602237.3500000006</v>
      </c>
    </row>
    <row r="546" spans="1:8" x14ac:dyDescent="0.2">
      <c r="A546" s="5" t="s">
        <v>814</v>
      </c>
      <c r="B546" s="4">
        <v>46182</v>
      </c>
      <c r="C546" s="2" t="s">
        <v>815</v>
      </c>
      <c r="D546" s="12">
        <v>1687.43</v>
      </c>
      <c r="E546" s="13">
        <v>0</v>
      </c>
      <c r="F546" s="19" t="str" cm="1">
        <f t="array" ref="F546">IFERROR(LOOKUP(2^15,SEARCH(CategoryMap[Keyword],BankTransactions[[#This Row],[Description]]),CategoryMap[Category]),"Other")</f>
        <v>Customer Receipts</v>
      </c>
      <c r="G546" s="6">
        <f>BankTransactions[[#This Row],[Credit (SAR)]]-BankTransactions[[#This Row],[Debit (SAR)]]</f>
        <v>1687.43</v>
      </c>
      <c r="H546" s="6">
        <f>Opening+SUM(INDEX(BankTransactions[Net (SAR)],1):BankTransactions[[#This Row],[Net (SAR)]])</f>
        <v>2603924.7800000003</v>
      </c>
    </row>
    <row r="547" spans="1:8" x14ac:dyDescent="0.2">
      <c r="A547" s="5" t="s">
        <v>816</v>
      </c>
      <c r="B547" s="4">
        <v>46182</v>
      </c>
      <c r="C547" s="2" t="s">
        <v>140</v>
      </c>
      <c r="D547" s="12">
        <v>4384.47</v>
      </c>
      <c r="E547" s="13">
        <v>0</v>
      </c>
      <c r="F547" s="19" t="str" cm="1">
        <f t="array" ref="F547">IFERROR(LOOKUP(2^15,SEARCH(CategoryMap[Keyword],BankTransactions[[#This Row],[Description]]),CategoryMap[Category]),"Other")</f>
        <v>Customer Receipts</v>
      </c>
      <c r="G547" s="6">
        <f>BankTransactions[[#This Row],[Credit (SAR)]]-BankTransactions[[#This Row],[Debit (SAR)]]</f>
        <v>4384.47</v>
      </c>
      <c r="H547" s="6">
        <f>Opening+SUM(INDEX(BankTransactions[Net (SAR)],1):BankTransactions[[#This Row],[Net (SAR)]])</f>
        <v>2608309.2500000005</v>
      </c>
    </row>
    <row r="548" spans="1:8" x14ac:dyDescent="0.2">
      <c r="A548" s="5" t="s">
        <v>817</v>
      </c>
      <c r="B548" s="4">
        <v>46182</v>
      </c>
      <c r="C548" s="2" t="s">
        <v>818</v>
      </c>
      <c r="D548" s="12">
        <v>9679.76</v>
      </c>
      <c r="E548" s="13">
        <v>0</v>
      </c>
      <c r="F548" s="19" t="str" cm="1">
        <f t="array" ref="F548">IFERROR(LOOKUP(2^15,SEARCH(CategoryMap[Keyword],BankTransactions[[#This Row],[Description]]),CategoryMap[Category]),"Other")</f>
        <v>Customer Receipts</v>
      </c>
      <c r="G548" s="6">
        <f>BankTransactions[[#This Row],[Credit (SAR)]]-BankTransactions[[#This Row],[Debit (SAR)]]</f>
        <v>9679.76</v>
      </c>
      <c r="H548" s="6">
        <f>Opening+SUM(INDEX(BankTransactions[Net (SAR)],1):BankTransactions[[#This Row],[Net (SAR)]])</f>
        <v>2617989.0100000002</v>
      </c>
    </row>
    <row r="549" spans="1:8" x14ac:dyDescent="0.2">
      <c r="A549" s="5" t="s">
        <v>819</v>
      </c>
      <c r="B549" s="4">
        <v>46184</v>
      </c>
      <c r="C549" s="2" t="s">
        <v>820</v>
      </c>
      <c r="D549" s="12">
        <v>1509.89</v>
      </c>
      <c r="E549" s="13">
        <v>0</v>
      </c>
      <c r="F549" s="19" t="str" cm="1">
        <f t="array" ref="F549">IFERROR(LOOKUP(2^15,SEARCH(CategoryMap[Keyword],BankTransactions[[#This Row],[Description]]),CategoryMap[Category]),"Other")</f>
        <v>Customer Receipts</v>
      </c>
      <c r="G549" s="6">
        <f>BankTransactions[[#This Row],[Credit (SAR)]]-BankTransactions[[#This Row],[Debit (SAR)]]</f>
        <v>1509.89</v>
      </c>
      <c r="H549" s="6">
        <f>Opening+SUM(INDEX(BankTransactions[Net (SAR)],1):BankTransactions[[#This Row],[Net (SAR)]])</f>
        <v>2619498.9000000004</v>
      </c>
    </row>
    <row r="550" spans="1:8" x14ac:dyDescent="0.2">
      <c r="A550" s="5" t="s">
        <v>821</v>
      </c>
      <c r="B550" s="4">
        <v>46184</v>
      </c>
      <c r="C550" s="2" t="s">
        <v>112</v>
      </c>
      <c r="D550" s="12">
        <v>20698.419999999998</v>
      </c>
      <c r="E550" s="13">
        <v>0</v>
      </c>
      <c r="F550" s="19" t="str" cm="1">
        <f t="array" ref="F550">IFERROR(LOOKUP(2^15,SEARCH(CategoryMap[Keyword],BankTransactions[[#This Row],[Description]]),CategoryMap[Category]),"Other")</f>
        <v>Customer Receipts</v>
      </c>
      <c r="G550" s="6">
        <f>BankTransactions[[#This Row],[Credit (SAR)]]-BankTransactions[[#This Row],[Debit (SAR)]]</f>
        <v>20698.419999999998</v>
      </c>
      <c r="H550" s="6">
        <f>Opening+SUM(INDEX(BankTransactions[Net (SAR)],1):BankTransactions[[#This Row],[Net (SAR)]])</f>
        <v>2640197.3200000003</v>
      </c>
    </row>
    <row r="551" spans="1:8" x14ac:dyDescent="0.2">
      <c r="A551" s="5" t="s">
        <v>822</v>
      </c>
      <c r="B551" s="4">
        <v>46185</v>
      </c>
      <c r="C551" s="2" t="s">
        <v>823</v>
      </c>
      <c r="D551" s="12">
        <v>7531.42</v>
      </c>
      <c r="E551" s="13">
        <v>0</v>
      </c>
      <c r="F551" s="19" t="str" cm="1">
        <f t="array" ref="F551">IFERROR(LOOKUP(2^15,SEARCH(CategoryMap[Keyword],BankTransactions[[#This Row],[Description]]),CategoryMap[Category]),"Other")</f>
        <v>Customer Receipts</v>
      </c>
      <c r="G551" s="6">
        <f>BankTransactions[[#This Row],[Credit (SAR)]]-BankTransactions[[#This Row],[Debit (SAR)]]</f>
        <v>7531.42</v>
      </c>
      <c r="H551" s="6">
        <f>Opening+SUM(INDEX(BankTransactions[Net (SAR)],1):BankTransactions[[#This Row],[Net (SAR)]])</f>
        <v>2647728.7400000002</v>
      </c>
    </row>
    <row r="552" spans="1:8" x14ac:dyDescent="0.2">
      <c r="A552" s="5" t="s">
        <v>824</v>
      </c>
      <c r="B552" s="4">
        <v>46185</v>
      </c>
      <c r="C552" s="2" t="s">
        <v>825</v>
      </c>
      <c r="D552" s="12">
        <v>3840.41</v>
      </c>
      <c r="E552" s="13">
        <v>0</v>
      </c>
      <c r="F552" s="19" t="str" cm="1">
        <f t="array" ref="F552">IFERROR(LOOKUP(2^15,SEARCH(CategoryMap[Keyword],BankTransactions[[#This Row],[Description]]),CategoryMap[Category]),"Other")</f>
        <v>Customer Receipts</v>
      </c>
      <c r="G552" s="6">
        <f>BankTransactions[[#This Row],[Credit (SAR)]]-BankTransactions[[#This Row],[Debit (SAR)]]</f>
        <v>3840.41</v>
      </c>
      <c r="H552" s="6">
        <f>Opening+SUM(INDEX(BankTransactions[Net (SAR)],1):BankTransactions[[#This Row],[Net (SAR)]])</f>
        <v>2651569.1500000004</v>
      </c>
    </row>
    <row r="553" spans="1:8" x14ac:dyDescent="0.2">
      <c r="A553" s="5" t="s">
        <v>826</v>
      </c>
      <c r="B553" s="4">
        <v>46185</v>
      </c>
      <c r="C553" s="2" t="s">
        <v>3</v>
      </c>
      <c r="D553" s="12">
        <v>0</v>
      </c>
      <c r="E553" s="13">
        <v>27659.77</v>
      </c>
      <c r="F553" s="19" t="str" cm="1">
        <f t="array" ref="F553">IFERROR(LOOKUP(2^15,SEARCH(CategoryMap[Keyword],BankTransactions[[#This Row],[Description]]),CategoryMap[Category]),"Other")</f>
        <v>Supplier Payments</v>
      </c>
      <c r="G553" s="6">
        <f>BankTransactions[[#This Row],[Credit (SAR)]]-BankTransactions[[#This Row],[Debit (SAR)]]</f>
        <v>-27659.77</v>
      </c>
      <c r="H553" s="6">
        <f>Opening+SUM(INDEX(BankTransactions[Net (SAR)],1):BankTransactions[[#This Row],[Net (SAR)]])</f>
        <v>2623909.3800000004</v>
      </c>
    </row>
    <row r="554" spans="1:8" x14ac:dyDescent="0.2">
      <c r="A554" s="5" t="s">
        <v>827</v>
      </c>
      <c r="B554" s="4">
        <v>46186</v>
      </c>
      <c r="C554" s="2" t="s">
        <v>195</v>
      </c>
      <c r="D554" s="12">
        <v>19234.87</v>
      </c>
      <c r="E554" s="13">
        <v>0</v>
      </c>
      <c r="F554" s="19" t="str" cm="1">
        <f t="array" ref="F554">IFERROR(LOOKUP(2^15,SEARCH(CategoryMap[Keyword],BankTransactions[[#This Row],[Description]]),CategoryMap[Category]),"Other")</f>
        <v>Customer Receipts</v>
      </c>
      <c r="G554" s="6">
        <f>BankTransactions[[#This Row],[Credit (SAR)]]-BankTransactions[[#This Row],[Debit (SAR)]]</f>
        <v>19234.87</v>
      </c>
      <c r="H554" s="6">
        <f>Opening+SUM(INDEX(BankTransactions[Net (SAR)],1):BankTransactions[[#This Row],[Net (SAR)]])</f>
        <v>2643144.2500000005</v>
      </c>
    </row>
    <row r="555" spans="1:8" x14ac:dyDescent="0.2">
      <c r="A555" s="5" t="s">
        <v>828</v>
      </c>
      <c r="B555" s="4">
        <v>46186</v>
      </c>
      <c r="C555" s="2" t="s">
        <v>829</v>
      </c>
      <c r="D555" s="12">
        <v>6286.15</v>
      </c>
      <c r="E555" s="13">
        <v>0</v>
      </c>
      <c r="F555" s="19" t="str" cm="1">
        <f t="array" ref="F555">IFERROR(LOOKUP(2^15,SEARCH(CategoryMap[Keyword],BankTransactions[[#This Row],[Description]]),CategoryMap[Category]),"Other")</f>
        <v>Customer Receipts</v>
      </c>
      <c r="G555" s="6">
        <f>BankTransactions[[#This Row],[Credit (SAR)]]-BankTransactions[[#This Row],[Debit (SAR)]]</f>
        <v>6286.15</v>
      </c>
      <c r="H555" s="6">
        <f>Opening+SUM(INDEX(BankTransactions[Net (SAR)],1):BankTransactions[[#This Row],[Net (SAR)]])</f>
        <v>2649430.4000000004</v>
      </c>
    </row>
    <row r="556" spans="1:8" x14ac:dyDescent="0.2">
      <c r="A556" s="5" t="s">
        <v>830</v>
      </c>
      <c r="B556" s="4">
        <v>46186</v>
      </c>
      <c r="C556" s="2" t="s">
        <v>7</v>
      </c>
      <c r="D556" s="12">
        <v>0</v>
      </c>
      <c r="E556" s="13">
        <v>13558.1</v>
      </c>
      <c r="F556" s="19" t="str" cm="1">
        <f t="array" ref="F556">IFERROR(LOOKUP(2^15,SEARCH(CategoryMap[Keyword],BankTransactions[[#This Row],[Description]]),CategoryMap[Category]),"Other")</f>
        <v>Supplier Payments</v>
      </c>
      <c r="G556" s="6">
        <f>BankTransactions[[#This Row],[Credit (SAR)]]-BankTransactions[[#This Row],[Debit (SAR)]]</f>
        <v>-13558.1</v>
      </c>
      <c r="H556" s="6">
        <f>Opening+SUM(INDEX(BankTransactions[Net (SAR)],1):BankTransactions[[#This Row],[Net (SAR)]])</f>
        <v>2635872.3000000003</v>
      </c>
    </row>
    <row r="557" spans="1:8" x14ac:dyDescent="0.2">
      <c r="A557" s="5" t="s">
        <v>831</v>
      </c>
      <c r="B557" s="4">
        <v>46187</v>
      </c>
      <c r="C557" s="2" t="s">
        <v>832</v>
      </c>
      <c r="D557" s="12">
        <v>9563.7099999999991</v>
      </c>
      <c r="E557" s="13">
        <v>0</v>
      </c>
      <c r="F557" s="19" t="str" cm="1">
        <f t="array" ref="F557">IFERROR(LOOKUP(2^15,SEARCH(CategoryMap[Keyword],BankTransactions[[#This Row],[Description]]),CategoryMap[Category]),"Other")</f>
        <v>Customer Receipts</v>
      </c>
      <c r="G557" s="6">
        <f>BankTransactions[[#This Row],[Credit (SAR)]]-BankTransactions[[#This Row],[Debit (SAR)]]</f>
        <v>9563.7099999999991</v>
      </c>
      <c r="H557" s="6">
        <f>Opening+SUM(INDEX(BankTransactions[Net (SAR)],1):BankTransactions[[#This Row],[Net (SAR)]])</f>
        <v>2645436.0100000002</v>
      </c>
    </row>
    <row r="558" spans="1:8" x14ac:dyDescent="0.2">
      <c r="A558" s="5" t="s">
        <v>833</v>
      </c>
      <c r="B558" s="4">
        <v>46187</v>
      </c>
      <c r="C558" s="2" t="s">
        <v>7</v>
      </c>
      <c r="D558" s="12">
        <v>0</v>
      </c>
      <c r="E558" s="13">
        <v>7675.01</v>
      </c>
      <c r="F558" s="19" t="str" cm="1">
        <f t="array" ref="F558">IFERROR(LOOKUP(2^15,SEARCH(CategoryMap[Keyword],BankTransactions[[#This Row],[Description]]),CategoryMap[Category]),"Other")</f>
        <v>Supplier Payments</v>
      </c>
      <c r="G558" s="6">
        <f>BankTransactions[[#This Row],[Credit (SAR)]]-BankTransactions[[#This Row],[Debit (SAR)]]</f>
        <v>-7675.01</v>
      </c>
      <c r="H558" s="6">
        <f>Opening+SUM(INDEX(BankTransactions[Net (SAR)],1):BankTransactions[[#This Row],[Net (SAR)]])</f>
        <v>2637761.0000000005</v>
      </c>
    </row>
    <row r="559" spans="1:8" x14ac:dyDescent="0.2">
      <c r="A559" s="5" t="s">
        <v>834</v>
      </c>
      <c r="B559" s="4">
        <v>46188</v>
      </c>
      <c r="C559" s="2" t="s">
        <v>835</v>
      </c>
      <c r="D559" s="12">
        <v>3701.71</v>
      </c>
      <c r="E559" s="13">
        <v>0</v>
      </c>
      <c r="F559" s="19" t="str" cm="1">
        <f t="array" ref="F559">IFERROR(LOOKUP(2^15,SEARCH(CategoryMap[Keyword],BankTransactions[[#This Row],[Description]]),CategoryMap[Category]),"Other")</f>
        <v>Customer Receipts</v>
      </c>
      <c r="G559" s="6">
        <f>BankTransactions[[#This Row],[Credit (SAR)]]-BankTransactions[[#This Row],[Debit (SAR)]]</f>
        <v>3701.71</v>
      </c>
      <c r="H559" s="6">
        <f>Opening+SUM(INDEX(BankTransactions[Net (SAR)],1):BankTransactions[[#This Row],[Net (SAR)]])</f>
        <v>2641462.7100000004</v>
      </c>
    </row>
    <row r="560" spans="1:8" x14ac:dyDescent="0.2">
      <c r="A560" s="5" t="s">
        <v>836</v>
      </c>
      <c r="B560" s="4">
        <v>46188</v>
      </c>
      <c r="C560" s="2" t="s">
        <v>837</v>
      </c>
      <c r="D560" s="12">
        <v>1622.55</v>
      </c>
      <c r="E560" s="13">
        <v>0</v>
      </c>
      <c r="F560" s="19" t="str" cm="1">
        <f t="array" ref="F560">IFERROR(LOOKUP(2^15,SEARCH(CategoryMap[Keyword],BankTransactions[[#This Row],[Description]]),CategoryMap[Category]),"Other")</f>
        <v>Customer Receipts</v>
      </c>
      <c r="G560" s="6">
        <f>BankTransactions[[#This Row],[Credit (SAR)]]-BankTransactions[[#This Row],[Debit (SAR)]]</f>
        <v>1622.55</v>
      </c>
      <c r="H560" s="6">
        <f>Opening+SUM(INDEX(BankTransactions[Net (SAR)],1):BankTransactions[[#This Row],[Net (SAR)]])</f>
        <v>2643085.2600000002</v>
      </c>
    </row>
    <row r="561" spans="1:8" x14ac:dyDescent="0.2">
      <c r="A561" s="5" t="s">
        <v>838</v>
      </c>
      <c r="B561" s="4">
        <v>46188</v>
      </c>
      <c r="C561" s="2" t="s">
        <v>839</v>
      </c>
      <c r="D561" s="12">
        <v>2738.58</v>
      </c>
      <c r="E561" s="13">
        <v>0</v>
      </c>
      <c r="F561" s="19" t="str" cm="1">
        <f t="array" ref="F561">IFERROR(LOOKUP(2^15,SEARCH(CategoryMap[Keyword],BankTransactions[[#This Row],[Description]]),CategoryMap[Category]),"Other")</f>
        <v>Customer Receipts</v>
      </c>
      <c r="G561" s="6">
        <f>BankTransactions[[#This Row],[Credit (SAR)]]-BankTransactions[[#This Row],[Debit (SAR)]]</f>
        <v>2738.58</v>
      </c>
      <c r="H561" s="6">
        <f>Opening+SUM(INDEX(BankTransactions[Net (SAR)],1):BankTransactions[[#This Row],[Net (SAR)]])</f>
        <v>2645823.8400000003</v>
      </c>
    </row>
    <row r="562" spans="1:8" x14ac:dyDescent="0.2">
      <c r="A562" s="5" t="s">
        <v>840</v>
      </c>
      <c r="B562" s="4">
        <v>46188</v>
      </c>
      <c r="C562" s="2" t="s">
        <v>10</v>
      </c>
      <c r="D562" s="12">
        <v>0</v>
      </c>
      <c r="E562" s="13">
        <v>24713.67</v>
      </c>
      <c r="F562" s="19" t="str" cm="1">
        <f t="array" ref="F562">IFERROR(LOOKUP(2^15,SEARCH(CategoryMap[Keyword],BankTransactions[[#This Row],[Description]]),CategoryMap[Category]),"Other")</f>
        <v>Fuel &amp; Logistics</v>
      </c>
      <c r="G562" s="6">
        <f>BankTransactions[[#This Row],[Credit (SAR)]]-BankTransactions[[#This Row],[Debit (SAR)]]</f>
        <v>-24713.67</v>
      </c>
      <c r="H562" s="6">
        <f>Opening+SUM(INDEX(BankTransactions[Net (SAR)],1):BankTransactions[[#This Row],[Net (SAR)]])</f>
        <v>2621110.1700000004</v>
      </c>
    </row>
    <row r="563" spans="1:8" x14ac:dyDescent="0.2">
      <c r="A563" s="5" t="s">
        <v>841</v>
      </c>
      <c r="B563" s="4">
        <v>46189</v>
      </c>
      <c r="C563" s="2" t="s">
        <v>842</v>
      </c>
      <c r="D563" s="12">
        <v>44556.2</v>
      </c>
      <c r="E563" s="13">
        <v>0</v>
      </c>
      <c r="F563" s="19" t="str" cm="1">
        <f t="array" ref="F563">IFERROR(LOOKUP(2^15,SEARCH(CategoryMap[Keyword],BankTransactions[[#This Row],[Description]]),CategoryMap[Category]),"Other")</f>
        <v>Customer Receipts</v>
      </c>
      <c r="G563" s="6">
        <f>BankTransactions[[#This Row],[Credit (SAR)]]-BankTransactions[[#This Row],[Debit (SAR)]]</f>
        <v>44556.2</v>
      </c>
      <c r="H563" s="6">
        <f>Opening+SUM(INDEX(BankTransactions[Net (SAR)],1):BankTransactions[[#This Row],[Net (SAR)]])</f>
        <v>2665666.37</v>
      </c>
    </row>
    <row r="564" spans="1:8" x14ac:dyDescent="0.2">
      <c r="A564" s="5" t="s">
        <v>843</v>
      </c>
      <c r="B564" s="4">
        <v>46189</v>
      </c>
      <c r="C564" s="2" t="s">
        <v>844</v>
      </c>
      <c r="D564" s="12">
        <v>10112.94</v>
      </c>
      <c r="E564" s="13">
        <v>0</v>
      </c>
      <c r="F564" s="19" t="str" cm="1">
        <f t="array" ref="F564">IFERROR(LOOKUP(2^15,SEARCH(CategoryMap[Keyword],BankTransactions[[#This Row],[Description]]),CategoryMap[Category]),"Other")</f>
        <v>Customer Receipts</v>
      </c>
      <c r="G564" s="6">
        <f>BankTransactions[[#This Row],[Credit (SAR)]]-BankTransactions[[#This Row],[Debit (SAR)]]</f>
        <v>10112.94</v>
      </c>
      <c r="H564" s="6">
        <f>Opening+SUM(INDEX(BankTransactions[Net (SAR)],1):BankTransactions[[#This Row],[Net (SAR)]])</f>
        <v>2675779.3100000005</v>
      </c>
    </row>
    <row r="565" spans="1:8" x14ac:dyDescent="0.2">
      <c r="A565" s="5" t="s">
        <v>845</v>
      </c>
      <c r="B565" s="4">
        <v>46189</v>
      </c>
      <c r="C565" s="2" t="s">
        <v>188</v>
      </c>
      <c r="D565" s="12">
        <v>2798.38</v>
      </c>
      <c r="E565" s="13">
        <v>0</v>
      </c>
      <c r="F565" s="19" t="str" cm="1">
        <f t="array" ref="F565">IFERROR(LOOKUP(2^15,SEARCH(CategoryMap[Keyword],BankTransactions[[#This Row],[Description]]),CategoryMap[Category]),"Other")</f>
        <v>Customer Receipts</v>
      </c>
      <c r="G565" s="6">
        <f>BankTransactions[[#This Row],[Credit (SAR)]]-BankTransactions[[#This Row],[Debit (SAR)]]</f>
        <v>2798.38</v>
      </c>
      <c r="H565" s="6">
        <f>Opening+SUM(INDEX(BankTransactions[Net (SAR)],1):BankTransactions[[#This Row],[Net (SAR)]])</f>
        <v>2678577.6900000004</v>
      </c>
    </row>
    <row r="566" spans="1:8" x14ac:dyDescent="0.2">
      <c r="A566" s="5" t="s">
        <v>846</v>
      </c>
      <c r="B566" s="4">
        <v>46189</v>
      </c>
      <c r="C566" s="2" t="s">
        <v>12</v>
      </c>
      <c r="D566" s="12">
        <v>42637.96</v>
      </c>
      <c r="E566" s="13">
        <v>0</v>
      </c>
      <c r="F566" s="19" t="str" cm="1">
        <f t="array" ref="F566">IFERROR(LOOKUP(2^15,SEARCH(CategoryMap[Keyword],BankTransactions[[#This Row],[Description]]),CategoryMap[Category]),"Other")</f>
        <v>Cash Deposits</v>
      </c>
      <c r="G566" s="6">
        <f>BankTransactions[[#This Row],[Credit (SAR)]]-BankTransactions[[#This Row],[Debit (SAR)]]</f>
        <v>42637.96</v>
      </c>
      <c r="H566" s="6">
        <f>Opening+SUM(INDEX(BankTransactions[Net (SAR)],1):BankTransactions[[#This Row],[Net (SAR)]])</f>
        <v>2721215.6500000004</v>
      </c>
    </row>
    <row r="567" spans="1:8" x14ac:dyDescent="0.2">
      <c r="A567" s="5" t="s">
        <v>847</v>
      </c>
      <c r="B567" s="4">
        <v>46189</v>
      </c>
      <c r="C567" s="2" t="s">
        <v>3</v>
      </c>
      <c r="D567" s="12">
        <v>0</v>
      </c>
      <c r="E567" s="13">
        <v>15695.54</v>
      </c>
      <c r="F567" s="19" t="str" cm="1">
        <f t="array" ref="F567">IFERROR(LOOKUP(2^15,SEARCH(CategoryMap[Keyword],BankTransactions[[#This Row],[Description]]),CategoryMap[Category]),"Other")</f>
        <v>Supplier Payments</v>
      </c>
      <c r="G567" s="6">
        <f>BankTransactions[[#This Row],[Credit (SAR)]]-BankTransactions[[#This Row],[Debit (SAR)]]</f>
        <v>-15695.54</v>
      </c>
      <c r="H567" s="6">
        <f>Opening+SUM(INDEX(BankTransactions[Net (SAR)],1):BankTransactions[[#This Row],[Net (SAR)]])</f>
        <v>2705520.1100000003</v>
      </c>
    </row>
    <row r="568" spans="1:8" x14ac:dyDescent="0.2">
      <c r="A568" s="5" t="s">
        <v>848</v>
      </c>
      <c r="B568" s="4">
        <v>46190</v>
      </c>
      <c r="C568" s="2" t="s">
        <v>333</v>
      </c>
      <c r="D568" s="12">
        <v>4224.05</v>
      </c>
      <c r="E568" s="13">
        <v>0</v>
      </c>
      <c r="F568" s="19" t="str" cm="1">
        <f t="array" ref="F568">IFERROR(LOOKUP(2^15,SEARCH(CategoryMap[Keyword],BankTransactions[[#This Row],[Description]]),CategoryMap[Category]),"Other")</f>
        <v>Customer Receipts</v>
      </c>
      <c r="G568" s="6">
        <f>BankTransactions[[#This Row],[Credit (SAR)]]-BankTransactions[[#This Row],[Debit (SAR)]]</f>
        <v>4224.05</v>
      </c>
      <c r="H568" s="6">
        <f>Opening+SUM(INDEX(BankTransactions[Net (SAR)],1):BankTransactions[[#This Row],[Net (SAR)]])</f>
        <v>2709744.16</v>
      </c>
    </row>
    <row r="569" spans="1:8" x14ac:dyDescent="0.2">
      <c r="A569" s="5" t="s">
        <v>849</v>
      </c>
      <c r="B569" s="4">
        <v>46190</v>
      </c>
      <c r="C569" s="2" t="s">
        <v>10</v>
      </c>
      <c r="D569" s="12">
        <v>0</v>
      </c>
      <c r="E569" s="13">
        <v>0</v>
      </c>
      <c r="F569" s="19" t="str" cm="1">
        <f t="array" ref="F569">IFERROR(LOOKUP(2^15,SEARCH(CategoryMap[Keyword],BankTransactions[[#This Row],[Description]]),CategoryMap[Category]),"Other")</f>
        <v>Fuel &amp; Logistics</v>
      </c>
      <c r="G569" s="6">
        <f>BankTransactions[[#This Row],[Credit (SAR)]]-BankTransactions[[#This Row],[Debit (SAR)]]</f>
        <v>0</v>
      </c>
      <c r="H569" s="6">
        <f>Opening+SUM(INDEX(BankTransactions[Net (SAR)],1):BankTransactions[[#This Row],[Net (SAR)]])</f>
        <v>2709744.16</v>
      </c>
    </row>
    <row r="570" spans="1:8" x14ac:dyDescent="0.2">
      <c r="A570" s="5" t="s">
        <v>850</v>
      </c>
      <c r="B570" s="4">
        <v>46191</v>
      </c>
      <c r="C570" s="2" t="s">
        <v>851</v>
      </c>
      <c r="D570" s="12">
        <v>3711.16</v>
      </c>
      <c r="E570" s="13">
        <v>0</v>
      </c>
      <c r="F570" s="19" t="str" cm="1">
        <f t="array" ref="F570">IFERROR(LOOKUP(2^15,SEARCH(CategoryMap[Keyword],BankTransactions[[#This Row],[Description]]),CategoryMap[Category]),"Other")</f>
        <v>Customer Receipts</v>
      </c>
      <c r="G570" s="6">
        <f>BankTransactions[[#This Row],[Credit (SAR)]]-BankTransactions[[#This Row],[Debit (SAR)]]</f>
        <v>3711.16</v>
      </c>
      <c r="H570" s="6">
        <f>Opening+SUM(INDEX(BankTransactions[Net (SAR)],1):BankTransactions[[#This Row],[Net (SAR)]])</f>
        <v>2713455.3200000003</v>
      </c>
    </row>
    <row r="571" spans="1:8" x14ac:dyDescent="0.2">
      <c r="A571" s="5" t="s">
        <v>852</v>
      </c>
      <c r="B571" s="4">
        <v>46191</v>
      </c>
      <c r="C571" s="2" t="s">
        <v>112</v>
      </c>
      <c r="D571" s="12">
        <v>14061.02</v>
      </c>
      <c r="E571" s="13">
        <v>0</v>
      </c>
      <c r="F571" s="19" t="str" cm="1">
        <f t="array" ref="F571">IFERROR(LOOKUP(2^15,SEARCH(CategoryMap[Keyword],BankTransactions[[#This Row],[Description]]),CategoryMap[Category]),"Other")</f>
        <v>Customer Receipts</v>
      </c>
      <c r="G571" s="6">
        <f>BankTransactions[[#This Row],[Credit (SAR)]]-BankTransactions[[#This Row],[Debit (SAR)]]</f>
        <v>14061.02</v>
      </c>
      <c r="H571" s="6">
        <f>Opening+SUM(INDEX(BankTransactions[Net (SAR)],1):BankTransactions[[#This Row],[Net (SAR)]])</f>
        <v>2727516.3400000003</v>
      </c>
    </row>
    <row r="572" spans="1:8" x14ac:dyDescent="0.2">
      <c r="A572" s="5" t="s">
        <v>853</v>
      </c>
      <c r="B572" s="4">
        <v>46192</v>
      </c>
      <c r="C572" s="2" t="s">
        <v>854</v>
      </c>
      <c r="D572" s="12">
        <v>7669.82</v>
      </c>
      <c r="E572" s="13">
        <v>0</v>
      </c>
      <c r="F572" s="19" t="str" cm="1">
        <f t="array" ref="F572">IFERROR(LOOKUP(2^15,SEARCH(CategoryMap[Keyword],BankTransactions[[#This Row],[Description]]),CategoryMap[Category]),"Other")</f>
        <v>Customer Receipts</v>
      </c>
      <c r="G572" s="6">
        <f>BankTransactions[[#This Row],[Credit (SAR)]]-BankTransactions[[#This Row],[Debit (SAR)]]</f>
        <v>7669.82</v>
      </c>
      <c r="H572" s="6">
        <f>Opening+SUM(INDEX(BankTransactions[Net (SAR)],1):BankTransactions[[#This Row],[Net (SAR)]])</f>
        <v>2735186.16</v>
      </c>
    </row>
    <row r="573" spans="1:8" x14ac:dyDescent="0.2">
      <c r="A573" s="5" t="s">
        <v>855</v>
      </c>
      <c r="B573" s="4">
        <v>46192</v>
      </c>
      <c r="C573" s="2" t="s">
        <v>856</v>
      </c>
      <c r="D573" s="12">
        <v>1425.25</v>
      </c>
      <c r="E573" s="13">
        <v>0</v>
      </c>
      <c r="F573" s="19" t="str" cm="1">
        <f t="array" ref="F573">IFERROR(LOOKUP(2^15,SEARCH(CategoryMap[Keyword],BankTransactions[[#This Row],[Description]]),CategoryMap[Category]),"Other")</f>
        <v>Customer Receipts</v>
      </c>
      <c r="G573" s="6">
        <f>BankTransactions[[#This Row],[Credit (SAR)]]-BankTransactions[[#This Row],[Debit (SAR)]]</f>
        <v>1425.25</v>
      </c>
      <c r="H573" s="6">
        <f>Opening+SUM(INDEX(BankTransactions[Net (SAR)],1):BankTransactions[[#This Row],[Net (SAR)]])</f>
        <v>2736611.41</v>
      </c>
    </row>
    <row r="574" spans="1:8" x14ac:dyDescent="0.2">
      <c r="A574" s="5" t="s">
        <v>857</v>
      </c>
      <c r="B574" s="4">
        <v>46192</v>
      </c>
      <c r="C574" s="2" t="s">
        <v>858</v>
      </c>
      <c r="D574" s="12">
        <v>7251.96</v>
      </c>
      <c r="E574" s="13">
        <v>0</v>
      </c>
      <c r="F574" s="19" t="str" cm="1">
        <f t="array" ref="F574">IFERROR(LOOKUP(2^15,SEARCH(CategoryMap[Keyword],BankTransactions[[#This Row],[Description]]),CategoryMap[Category]),"Other")</f>
        <v>Customer Receipts</v>
      </c>
      <c r="G574" s="6">
        <f>BankTransactions[[#This Row],[Credit (SAR)]]-BankTransactions[[#This Row],[Debit (SAR)]]</f>
        <v>7251.96</v>
      </c>
      <c r="H574" s="6">
        <f>Opening+SUM(INDEX(BankTransactions[Net (SAR)],1):BankTransactions[[#This Row],[Net (SAR)]])</f>
        <v>2743863.37</v>
      </c>
    </row>
    <row r="575" spans="1:8" x14ac:dyDescent="0.2">
      <c r="A575" s="5" t="s">
        <v>859</v>
      </c>
      <c r="B575" s="4">
        <v>46193</v>
      </c>
      <c r="C575" s="2" t="s">
        <v>860</v>
      </c>
      <c r="D575" s="12">
        <v>2625.63</v>
      </c>
      <c r="E575" s="13">
        <v>0</v>
      </c>
      <c r="F575" s="19" t="str" cm="1">
        <f t="array" ref="F575">IFERROR(LOOKUP(2^15,SEARCH(CategoryMap[Keyword],BankTransactions[[#This Row],[Description]]),CategoryMap[Category]),"Other")</f>
        <v>Customer Receipts</v>
      </c>
      <c r="G575" s="6">
        <f>BankTransactions[[#This Row],[Credit (SAR)]]-BankTransactions[[#This Row],[Debit (SAR)]]</f>
        <v>2625.63</v>
      </c>
      <c r="H575" s="6">
        <f>Opening+SUM(INDEX(BankTransactions[Net (SAR)],1):BankTransactions[[#This Row],[Net (SAR)]])</f>
        <v>2746489.0000000005</v>
      </c>
    </row>
    <row r="576" spans="1:8" x14ac:dyDescent="0.2">
      <c r="A576" s="5" t="s">
        <v>861</v>
      </c>
      <c r="B576" s="4">
        <v>46194</v>
      </c>
      <c r="C576" s="2" t="s">
        <v>862</v>
      </c>
      <c r="D576" s="12">
        <v>6235.04</v>
      </c>
      <c r="E576" s="13">
        <v>0</v>
      </c>
      <c r="F576" s="19" t="str" cm="1">
        <f t="array" ref="F576">IFERROR(LOOKUP(2^15,SEARCH(CategoryMap[Keyword],BankTransactions[[#This Row],[Description]]),CategoryMap[Category]),"Other")</f>
        <v>Customer Receipts</v>
      </c>
      <c r="G576" s="6">
        <f>BankTransactions[[#This Row],[Credit (SAR)]]-BankTransactions[[#This Row],[Debit (SAR)]]</f>
        <v>6235.04</v>
      </c>
      <c r="H576" s="6">
        <f>Opening+SUM(INDEX(BankTransactions[Net (SAR)],1):BankTransactions[[#This Row],[Net (SAR)]])</f>
        <v>2752724.04</v>
      </c>
    </row>
    <row r="577" spans="1:8" x14ac:dyDescent="0.2">
      <c r="A577" s="5" t="s">
        <v>863</v>
      </c>
      <c r="B577" s="4">
        <v>46194</v>
      </c>
      <c r="C577" s="2" t="s">
        <v>3</v>
      </c>
      <c r="D577" s="12">
        <v>0</v>
      </c>
      <c r="E577" s="13">
        <v>0</v>
      </c>
      <c r="F577" s="19" t="str" cm="1">
        <f t="array" ref="F577">IFERROR(LOOKUP(2^15,SEARCH(CategoryMap[Keyword],BankTransactions[[#This Row],[Description]]),CategoryMap[Category]),"Other")</f>
        <v>Supplier Payments</v>
      </c>
      <c r="G577" s="6">
        <f>BankTransactions[[#This Row],[Credit (SAR)]]-BankTransactions[[#This Row],[Debit (SAR)]]</f>
        <v>0</v>
      </c>
      <c r="H577" s="6">
        <f>Opening+SUM(INDEX(BankTransactions[Net (SAR)],1):BankTransactions[[#This Row],[Net (SAR)]])</f>
        <v>2752724.04</v>
      </c>
    </row>
    <row r="578" spans="1:8" x14ac:dyDescent="0.2">
      <c r="A578" s="5" t="s">
        <v>864</v>
      </c>
      <c r="B578" s="4">
        <v>46194</v>
      </c>
      <c r="C578" s="2" t="s">
        <v>3</v>
      </c>
      <c r="D578" s="12">
        <v>0</v>
      </c>
      <c r="E578" s="13">
        <v>29818.95</v>
      </c>
      <c r="F578" s="19" t="str" cm="1">
        <f t="array" ref="F578">IFERROR(LOOKUP(2^15,SEARCH(CategoryMap[Keyword],BankTransactions[[#This Row],[Description]]),CategoryMap[Category]),"Other")</f>
        <v>Supplier Payments</v>
      </c>
      <c r="G578" s="6">
        <f>BankTransactions[[#This Row],[Credit (SAR)]]-BankTransactions[[#This Row],[Debit (SAR)]]</f>
        <v>-29818.95</v>
      </c>
      <c r="H578" s="6">
        <f>Opening+SUM(INDEX(BankTransactions[Net (SAR)],1):BankTransactions[[#This Row],[Net (SAR)]])</f>
        <v>2722905.0900000003</v>
      </c>
    </row>
    <row r="579" spans="1:8" x14ac:dyDescent="0.2">
      <c r="A579" s="5" t="s">
        <v>865</v>
      </c>
      <c r="B579" s="4">
        <v>46196</v>
      </c>
      <c r="C579" s="2" t="s">
        <v>112</v>
      </c>
      <c r="D579" s="12">
        <v>10885.24</v>
      </c>
      <c r="E579" s="13">
        <v>0</v>
      </c>
      <c r="F579" s="19" t="str" cm="1">
        <f t="array" ref="F579">IFERROR(LOOKUP(2^15,SEARCH(CategoryMap[Keyword],BankTransactions[[#This Row],[Description]]),CategoryMap[Category]),"Other")</f>
        <v>Customer Receipts</v>
      </c>
      <c r="G579" s="6">
        <f>BankTransactions[[#This Row],[Credit (SAR)]]-BankTransactions[[#This Row],[Debit (SAR)]]</f>
        <v>10885.24</v>
      </c>
      <c r="H579" s="6">
        <f>Opening+SUM(INDEX(BankTransactions[Net (SAR)],1):BankTransactions[[#This Row],[Net (SAR)]])</f>
        <v>2733790.33</v>
      </c>
    </row>
    <row r="580" spans="1:8" x14ac:dyDescent="0.2">
      <c r="A580" s="5" t="s">
        <v>866</v>
      </c>
      <c r="B580" s="4">
        <v>46196</v>
      </c>
      <c r="C580" s="2" t="s">
        <v>10</v>
      </c>
      <c r="D580" s="12">
        <v>0</v>
      </c>
      <c r="E580" s="13">
        <v>23213.87</v>
      </c>
      <c r="F580" s="19" t="str" cm="1">
        <f t="array" ref="F580">IFERROR(LOOKUP(2^15,SEARCH(CategoryMap[Keyword],BankTransactions[[#This Row],[Description]]),CategoryMap[Category]),"Other")</f>
        <v>Fuel &amp; Logistics</v>
      </c>
      <c r="G580" s="6">
        <f>BankTransactions[[#This Row],[Credit (SAR)]]-BankTransactions[[#This Row],[Debit (SAR)]]</f>
        <v>-23213.87</v>
      </c>
      <c r="H580" s="6">
        <f>Opening+SUM(INDEX(BankTransactions[Net (SAR)],1):BankTransactions[[#This Row],[Net (SAR)]])</f>
        <v>2710576.4600000004</v>
      </c>
    </row>
    <row r="581" spans="1:8" x14ac:dyDescent="0.2">
      <c r="A581" s="5" t="s">
        <v>867</v>
      </c>
      <c r="B581" s="4">
        <v>46197</v>
      </c>
      <c r="C581" s="2" t="s">
        <v>868</v>
      </c>
      <c r="D581" s="12">
        <v>43171.9</v>
      </c>
      <c r="E581" s="13">
        <v>0</v>
      </c>
      <c r="F581" s="19" t="str" cm="1">
        <f t="array" ref="F581">IFERROR(LOOKUP(2^15,SEARCH(CategoryMap[Keyword],BankTransactions[[#This Row],[Description]]),CategoryMap[Category]),"Other")</f>
        <v>Customer Receipts</v>
      </c>
      <c r="G581" s="6">
        <f>BankTransactions[[#This Row],[Credit (SAR)]]-BankTransactions[[#This Row],[Debit (SAR)]]</f>
        <v>43171.9</v>
      </c>
      <c r="H581" s="6">
        <f>Opening+SUM(INDEX(BankTransactions[Net (SAR)],1):BankTransactions[[#This Row],[Net (SAR)]])</f>
        <v>2753748.3600000003</v>
      </c>
    </row>
    <row r="582" spans="1:8" x14ac:dyDescent="0.2">
      <c r="A582" s="5" t="s">
        <v>869</v>
      </c>
      <c r="B582" s="4">
        <v>46198</v>
      </c>
      <c r="C582" s="2" t="s">
        <v>870</v>
      </c>
      <c r="D582" s="12">
        <v>4603.12</v>
      </c>
      <c r="E582" s="13">
        <v>0</v>
      </c>
      <c r="F582" s="19" t="str" cm="1">
        <f t="array" ref="F582">IFERROR(LOOKUP(2^15,SEARCH(CategoryMap[Keyword],BankTransactions[[#This Row],[Description]]),CategoryMap[Category]),"Other")</f>
        <v>Customer Receipts</v>
      </c>
      <c r="G582" s="6">
        <f>BankTransactions[[#This Row],[Credit (SAR)]]-BankTransactions[[#This Row],[Debit (SAR)]]</f>
        <v>4603.12</v>
      </c>
      <c r="H582" s="6">
        <f>Opening+SUM(INDEX(BankTransactions[Net (SAR)],1):BankTransactions[[#This Row],[Net (SAR)]])</f>
        <v>2758351.4800000004</v>
      </c>
    </row>
    <row r="583" spans="1:8" x14ac:dyDescent="0.2">
      <c r="A583" s="5" t="s">
        <v>871</v>
      </c>
      <c r="B583" s="4">
        <v>46198</v>
      </c>
      <c r="C583" s="2" t="s">
        <v>22</v>
      </c>
      <c r="D583" s="12">
        <v>0</v>
      </c>
      <c r="E583" s="13">
        <v>64000</v>
      </c>
      <c r="F583" s="19" t="str" cm="1">
        <f t="array" ref="F583">IFERROR(LOOKUP(2^15,SEARCH(CategoryMap[Keyword],BankTransactions[[#This Row],[Description]]),CategoryMap[Category]),"Other")</f>
        <v>Payroll</v>
      </c>
      <c r="G583" s="6">
        <f>BankTransactions[[#This Row],[Credit (SAR)]]-BankTransactions[[#This Row],[Debit (SAR)]]</f>
        <v>-64000</v>
      </c>
      <c r="H583" s="6">
        <f>Opening+SUM(INDEX(BankTransactions[Net (SAR)],1):BankTransactions[[#This Row],[Net (SAR)]])</f>
        <v>2694351.4800000004</v>
      </c>
    </row>
    <row r="584" spans="1:8" x14ac:dyDescent="0.2">
      <c r="A584" s="5" t="s">
        <v>872</v>
      </c>
      <c r="B584" s="4">
        <v>46198</v>
      </c>
      <c r="C584" s="2" t="s">
        <v>24</v>
      </c>
      <c r="D584" s="12">
        <v>0</v>
      </c>
      <c r="E584" s="13">
        <v>21000</v>
      </c>
      <c r="F584" s="19" t="str" cm="1">
        <f t="array" ref="F584">IFERROR(LOOKUP(2^15,SEARCH(CategoryMap[Keyword],BankTransactions[[#This Row],[Description]]),CategoryMap[Category]),"Other")</f>
        <v>Loan Repayments</v>
      </c>
      <c r="G584" s="6">
        <f>BankTransactions[[#This Row],[Credit (SAR)]]-BankTransactions[[#This Row],[Debit (SAR)]]</f>
        <v>-21000</v>
      </c>
      <c r="H584" s="6">
        <f>Opening+SUM(INDEX(BankTransactions[Net (SAR)],1):BankTransactions[[#This Row],[Net (SAR)]])</f>
        <v>2673351.4800000004</v>
      </c>
    </row>
    <row r="585" spans="1:8" x14ac:dyDescent="0.2">
      <c r="A585" s="5" t="s">
        <v>873</v>
      </c>
      <c r="B585" s="4">
        <v>46198</v>
      </c>
      <c r="C585" s="2" t="s">
        <v>7</v>
      </c>
      <c r="D585" s="12">
        <v>0</v>
      </c>
      <c r="E585" s="13">
        <v>24212.35</v>
      </c>
      <c r="F585" s="19" t="str" cm="1">
        <f t="array" ref="F585">IFERROR(LOOKUP(2^15,SEARCH(CategoryMap[Keyword],BankTransactions[[#This Row],[Description]]),CategoryMap[Category]),"Other")</f>
        <v>Supplier Payments</v>
      </c>
      <c r="G585" s="6">
        <f>BankTransactions[[#This Row],[Credit (SAR)]]-BankTransactions[[#This Row],[Debit (SAR)]]</f>
        <v>-24212.35</v>
      </c>
      <c r="H585" s="6">
        <f>Opening+SUM(INDEX(BankTransactions[Net (SAR)],1):BankTransactions[[#This Row],[Net (SAR)]])</f>
        <v>2649139.1300000004</v>
      </c>
    </row>
    <row r="586" spans="1:8" x14ac:dyDescent="0.2">
      <c r="A586" s="5" t="s">
        <v>874</v>
      </c>
      <c r="B586" s="4">
        <v>46198</v>
      </c>
      <c r="C586" s="2" t="s">
        <v>12</v>
      </c>
      <c r="D586" s="12">
        <v>33569.230000000003</v>
      </c>
      <c r="E586" s="13">
        <v>0</v>
      </c>
      <c r="F586" s="19" t="str" cm="1">
        <f t="array" ref="F586">IFERROR(LOOKUP(2^15,SEARCH(CategoryMap[Keyword],BankTransactions[[#This Row],[Description]]),CategoryMap[Category]),"Other")</f>
        <v>Cash Deposits</v>
      </c>
      <c r="G586" s="6">
        <f>BankTransactions[[#This Row],[Credit (SAR)]]-BankTransactions[[#This Row],[Debit (SAR)]]</f>
        <v>33569.230000000003</v>
      </c>
      <c r="H586" s="6">
        <f>Opening+SUM(INDEX(BankTransactions[Net (SAR)],1):BankTransactions[[#This Row],[Net (SAR)]])</f>
        <v>2682708.3600000003</v>
      </c>
    </row>
    <row r="587" spans="1:8" x14ac:dyDescent="0.2">
      <c r="A587" s="5" t="s">
        <v>875</v>
      </c>
      <c r="B587" s="4">
        <v>46199</v>
      </c>
      <c r="C587" s="2" t="s">
        <v>36</v>
      </c>
      <c r="D587" s="12">
        <v>2948.52</v>
      </c>
      <c r="E587" s="13">
        <v>0</v>
      </c>
      <c r="F587" s="19" t="str" cm="1">
        <f t="array" ref="F587">IFERROR(LOOKUP(2^15,SEARCH(CategoryMap[Keyword],BankTransactions[[#This Row],[Description]]),CategoryMap[Category]),"Other")</f>
        <v>Customer Receipts</v>
      </c>
      <c r="G587" s="6">
        <f>BankTransactions[[#This Row],[Credit (SAR)]]-BankTransactions[[#This Row],[Debit (SAR)]]</f>
        <v>2948.52</v>
      </c>
      <c r="H587" s="6">
        <f>Opening+SUM(INDEX(BankTransactions[Net (SAR)],1):BankTransactions[[#This Row],[Net (SAR)]])</f>
        <v>2685656.8800000004</v>
      </c>
    </row>
    <row r="588" spans="1:8" x14ac:dyDescent="0.2">
      <c r="A588" s="5" t="s">
        <v>876</v>
      </c>
      <c r="B588" s="4">
        <v>46199</v>
      </c>
      <c r="C588" s="2" t="s">
        <v>207</v>
      </c>
      <c r="D588" s="12">
        <v>7005.23</v>
      </c>
      <c r="E588" s="13">
        <v>0</v>
      </c>
      <c r="F588" s="19" t="str" cm="1">
        <f t="array" ref="F588">IFERROR(LOOKUP(2^15,SEARCH(CategoryMap[Keyword],BankTransactions[[#This Row],[Description]]),CategoryMap[Category]),"Other")</f>
        <v>Customer Receipts</v>
      </c>
      <c r="G588" s="6">
        <f>BankTransactions[[#This Row],[Credit (SAR)]]-BankTransactions[[#This Row],[Debit (SAR)]]</f>
        <v>7005.23</v>
      </c>
      <c r="H588" s="6">
        <f>Opening+SUM(INDEX(BankTransactions[Net (SAR)],1):BankTransactions[[#This Row],[Net (SAR)]])</f>
        <v>2692662.1100000003</v>
      </c>
    </row>
    <row r="589" spans="1:8" x14ac:dyDescent="0.2">
      <c r="A589" s="5" t="s">
        <v>877</v>
      </c>
      <c r="B589" s="4">
        <v>46200</v>
      </c>
      <c r="C589" s="2" t="s">
        <v>878</v>
      </c>
      <c r="D589" s="12">
        <v>6512.38</v>
      </c>
      <c r="E589" s="13">
        <v>0</v>
      </c>
      <c r="F589" s="19" t="str" cm="1">
        <f t="array" ref="F589">IFERROR(LOOKUP(2^15,SEARCH(CategoryMap[Keyword],BankTransactions[[#This Row],[Description]]),CategoryMap[Category]),"Other")</f>
        <v>Customer Receipts</v>
      </c>
      <c r="G589" s="6">
        <f>BankTransactions[[#This Row],[Credit (SAR)]]-BankTransactions[[#This Row],[Debit (SAR)]]</f>
        <v>6512.38</v>
      </c>
      <c r="H589" s="6">
        <f>Opening+SUM(INDEX(BankTransactions[Net (SAR)],1):BankTransactions[[#This Row],[Net (SAR)]])</f>
        <v>2699174.49</v>
      </c>
    </row>
    <row r="590" spans="1:8" x14ac:dyDescent="0.2">
      <c r="A590" s="5" t="s">
        <v>879</v>
      </c>
      <c r="B590" s="4">
        <v>46200</v>
      </c>
      <c r="C590" s="2" t="s">
        <v>12</v>
      </c>
      <c r="D590" s="12">
        <v>8294.3700000000008</v>
      </c>
      <c r="E590" s="13">
        <v>0</v>
      </c>
      <c r="F590" s="19" t="str" cm="1">
        <f t="array" ref="F590">IFERROR(LOOKUP(2^15,SEARCH(CategoryMap[Keyword],BankTransactions[[#This Row],[Description]]),CategoryMap[Category]),"Other")</f>
        <v>Cash Deposits</v>
      </c>
      <c r="G590" s="6">
        <f>BankTransactions[[#This Row],[Credit (SAR)]]-BankTransactions[[#This Row],[Debit (SAR)]]</f>
        <v>8294.3700000000008</v>
      </c>
      <c r="H590" s="6">
        <f>Opening+SUM(INDEX(BankTransactions[Net (SAR)],1):BankTransactions[[#This Row],[Net (SAR)]])</f>
        <v>2707468.8600000003</v>
      </c>
    </row>
    <row r="591" spans="1:8" x14ac:dyDescent="0.2">
      <c r="A591" s="5" t="s">
        <v>880</v>
      </c>
      <c r="B591" s="4">
        <v>46202</v>
      </c>
      <c r="C591" s="2" t="s">
        <v>881</v>
      </c>
      <c r="D591" s="12">
        <v>8726.3799999999992</v>
      </c>
      <c r="E591" s="13">
        <v>0</v>
      </c>
      <c r="F591" s="19" t="str" cm="1">
        <f t="array" ref="F591">IFERROR(LOOKUP(2^15,SEARCH(CategoryMap[Keyword],BankTransactions[[#This Row],[Description]]),CategoryMap[Category]),"Other")</f>
        <v>Customer Receipts</v>
      </c>
      <c r="G591" s="6">
        <f>BankTransactions[[#This Row],[Credit (SAR)]]-BankTransactions[[#This Row],[Debit (SAR)]]</f>
        <v>8726.3799999999992</v>
      </c>
      <c r="H591" s="6">
        <f>Opening+SUM(INDEX(BankTransactions[Net (SAR)],1):BankTransactions[[#This Row],[Net (SAR)]])</f>
        <v>2716195.24</v>
      </c>
    </row>
    <row r="592" spans="1:8" x14ac:dyDescent="0.2">
      <c r="A592" s="5" t="s">
        <v>882</v>
      </c>
      <c r="B592" s="4">
        <v>46202</v>
      </c>
      <c r="C592" s="2" t="s">
        <v>883</v>
      </c>
      <c r="D592" s="12">
        <v>6006.85</v>
      </c>
      <c r="E592" s="13">
        <v>0</v>
      </c>
      <c r="F592" s="19" t="str" cm="1">
        <f t="array" ref="F592">IFERROR(LOOKUP(2^15,SEARCH(CategoryMap[Keyword],BankTransactions[[#This Row],[Description]]),CategoryMap[Category]),"Other")</f>
        <v>Customer Receipts</v>
      </c>
      <c r="G592" s="6">
        <f>BankTransactions[[#This Row],[Credit (SAR)]]-BankTransactions[[#This Row],[Debit (SAR)]]</f>
        <v>6006.85</v>
      </c>
      <c r="H592" s="6">
        <f>Opening+SUM(INDEX(BankTransactions[Net (SAR)],1):BankTransactions[[#This Row],[Net (SAR)]])</f>
        <v>2722202.0900000003</v>
      </c>
    </row>
    <row r="593" spans="1:8" x14ac:dyDescent="0.2">
      <c r="A593" s="5" t="s">
        <v>884</v>
      </c>
      <c r="B593" s="4">
        <v>46202</v>
      </c>
      <c r="C593" s="2" t="s">
        <v>310</v>
      </c>
      <c r="D593" s="12">
        <v>23785.77</v>
      </c>
      <c r="E593" s="13">
        <v>0</v>
      </c>
      <c r="F593" s="19" t="str" cm="1">
        <f t="array" ref="F593">IFERROR(LOOKUP(2^15,SEARCH(CategoryMap[Keyword],BankTransactions[[#This Row],[Description]]),CategoryMap[Category]),"Other")</f>
        <v>Customer Receipts</v>
      </c>
      <c r="G593" s="6">
        <f>BankTransactions[[#This Row],[Credit (SAR)]]-BankTransactions[[#This Row],[Debit (SAR)]]</f>
        <v>23785.77</v>
      </c>
      <c r="H593" s="6">
        <f>Opening+SUM(INDEX(BankTransactions[Net (SAR)],1):BankTransactions[[#This Row],[Net (SAR)]])</f>
        <v>2745987.8600000003</v>
      </c>
    </row>
    <row r="594" spans="1:8" x14ac:dyDescent="0.2">
      <c r="A594" s="5" t="s">
        <v>885</v>
      </c>
      <c r="B594" s="4">
        <v>46204</v>
      </c>
      <c r="C594" s="2" t="s">
        <v>886</v>
      </c>
      <c r="D594" s="12">
        <v>33419.599999999999</v>
      </c>
      <c r="E594" s="13">
        <v>0</v>
      </c>
      <c r="F594" s="19" t="str" cm="1">
        <f t="array" ref="F594">IFERROR(LOOKUP(2^15,SEARCH(CategoryMap[Keyword],BankTransactions[[#This Row],[Description]]),CategoryMap[Category]),"Other")</f>
        <v>Customer Receipts</v>
      </c>
      <c r="G594" s="6">
        <f>BankTransactions[[#This Row],[Credit (SAR)]]-BankTransactions[[#This Row],[Debit (SAR)]]</f>
        <v>33419.599999999999</v>
      </c>
      <c r="H594" s="6">
        <f>Opening+SUM(INDEX(BankTransactions[Net (SAR)],1):BankTransactions[[#This Row],[Net (SAR)]])</f>
        <v>2779407.4600000004</v>
      </c>
    </row>
    <row r="595" spans="1:8" x14ac:dyDescent="0.2">
      <c r="A595" s="5" t="s">
        <v>887</v>
      </c>
      <c r="B595" s="4">
        <v>46204</v>
      </c>
      <c r="C595" s="2" t="s">
        <v>190</v>
      </c>
      <c r="D595" s="12">
        <v>4371.5200000000004</v>
      </c>
      <c r="E595" s="13">
        <v>0</v>
      </c>
      <c r="F595" s="19" t="str" cm="1">
        <f t="array" ref="F595">IFERROR(LOOKUP(2^15,SEARCH(CategoryMap[Keyword],BankTransactions[[#This Row],[Description]]),CategoryMap[Category]),"Other")</f>
        <v>Customer Receipts</v>
      </c>
      <c r="G595" s="6">
        <f>BankTransactions[[#This Row],[Credit (SAR)]]-BankTransactions[[#This Row],[Debit (SAR)]]</f>
        <v>4371.5200000000004</v>
      </c>
      <c r="H595" s="6">
        <f>Opening+SUM(INDEX(BankTransactions[Net (SAR)],1):BankTransactions[[#This Row],[Net (SAR)]])</f>
        <v>2783778.9800000004</v>
      </c>
    </row>
    <row r="596" spans="1:8" x14ac:dyDescent="0.2">
      <c r="A596" s="5" t="s">
        <v>888</v>
      </c>
      <c r="B596" s="4">
        <v>46204</v>
      </c>
      <c r="C596" s="2" t="s">
        <v>1</v>
      </c>
      <c r="D596" s="12">
        <v>0</v>
      </c>
      <c r="E596" s="13">
        <v>38000</v>
      </c>
      <c r="F596" s="19" t="str" cm="1">
        <f t="array" ref="F596">IFERROR(LOOKUP(2^15,SEARCH(CategoryMap[Keyword],BankTransactions[[#This Row],[Description]]),CategoryMap[Category]),"Other")</f>
        <v>Rent</v>
      </c>
      <c r="G596" s="6">
        <f>BankTransactions[[#This Row],[Credit (SAR)]]-BankTransactions[[#This Row],[Debit (SAR)]]</f>
        <v>-38000</v>
      </c>
      <c r="H596" s="6">
        <f>Opening+SUM(INDEX(BankTransactions[Net (SAR)],1):BankTransactions[[#This Row],[Net (SAR)]])</f>
        <v>2745778.9800000004</v>
      </c>
    </row>
    <row r="597" spans="1:8" x14ac:dyDescent="0.2">
      <c r="A597" s="5" t="s">
        <v>889</v>
      </c>
      <c r="B597" s="4">
        <v>46205</v>
      </c>
      <c r="C597" s="2" t="s">
        <v>614</v>
      </c>
      <c r="D597" s="12">
        <v>6862.56</v>
      </c>
      <c r="E597" s="13">
        <v>0</v>
      </c>
      <c r="F597" s="19" t="str" cm="1">
        <f t="array" ref="F597">IFERROR(LOOKUP(2^15,SEARCH(CategoryMap[Keyword],BankTransactions[[#This Row],[Description]]),CategoryMap[Category]),"Other")</f>
        <v>Customer Receipts</v>
      </c>
      <c r="G597" s="6">
        <f>BankTransactions[[#This Row],[Credit (SAR)]]-BankTransactions[[#This Row],[Debit (SAR)]]</f>
        <v>6862.56</v>
      </c>
      <c r="H597" s="6">
        <f>Opening+SUM(INDEX(BankTransactions[Net (SAR)],1):BankTransactions[[#This Row],[Net (SAR)]])</f>
        <v>2752641.54</v>
      </c>
    </row>
    <row r="598" spans="1:8" x14ac:dyDescent="0.2">
      <c r="A598" s="5" t="s">
        <v>890</v>
      </c>
      <c r="B598" s="4">
        <v>46205</v>
      </c>
      <c r="C598" s="2" t="s">
        <v>891</v>
      </c>
      <c r="D598" s="12">
        <v>25379.17</v>
      </c>
      <c r="E598" s="13">
        <v>0</v>
      </c>
      <c r="F598" s="19" t="str" cm="1">
        <f t="array" ref="F598">IFERROR(LOOKUP(2^15,SEARCH(CategoryMap[Keyword],BankTransactions[[#This Row],[Description]]),CategoryMap[Category]),"Other")</f>
        <v>Customer Receipts</v>
      </c>
      <c r="G598" s="6">
        <f>BankTransactions[[#This Row],[Credit (SAR)]]-BankTransactions[[#This Row],[Debit (SAR)]]</f>
        <v>25379.17</v>
      </c>
      <c r="H598" s="6">
        <f>Opening+SUM(INDEX(BankTransactions[Net (SAR)],1):BankTransactions[[#This Row],[Net (SAR)]])</f>
        <v>2778020.7100000004</v>
      </c>
    </row>
    <row r="599" spans="1:8" x14ac:dyDescent="0.2">
      <c r="A599" s="5" t="s">
        <v>892</v>
      </c>
      <c r="B599" s="4">
        <v>46206</v>
      </c>
      <c r="C599" s="2" t="s">
        <v>391</v>
      </c>
      <c r="D599" s="12">
        <v>13688.83</v>
      </c>
      <c r="E599" s="13">
        <v>0</v>
      </c>
      <c r="F599" s="19" t="str" cm="1">
        <f t="array" ref="F599">IFERROR(LOOKUP(2^15,SEARCH(CategoryMap[Keyword],BankTransactions[[#This Row],[Description]]),CategoryMap[Category]),"Other")</f>
        <v>Customer Receipts</v>
      </c>
      <c r="G599" s="6">
        <f>BankTransactions[[#This Row],[Credit (SAR)]]-BankTransactions[[#This Row],[Debit (SAR)]]</f>
        <v>13688.83</v>
      </c>
      <c r="H599" s="6">
        <f>Opening+SUM(INDEX(BankTransactions[Net (SAR)],1):BankTransactions[[#This Row],[Net (SAR)]])</f>
        <v>2791709.54</v>
      </c>
    </row>
    <row r="600" spans="1:8" x14ac:dyDescent="0.2">
      <c r="A600" s="5" t="s">
        <v>893</v>
      </c>
      <c r="B600" s="4">
        <v>46206</v>
      </c>
      <c r="C600" s="2" t="s">
        <v>3</v>
      </c>
      <c r="D600" s="12">
        <v>0</v>
      </c>
      <c r="E600" s="13">
        <v>0</v>
      </c>
      <c r="F600" s="19" t="str" cm="1">
        <f t="array" ref="F600">IFERROR(LOOKUP(2^15,SEARCH(CategoryMap[Keyword],BankTransactions[[#This Row],[Description]]),CategoryMap[Category]),"Other")</f>
        <v>Supplier Payments</v>
      </c>
      <c r="G600" s="6">
        <f>BankTransactions[[#This Row],[Credit (SAR)]]-BankTransactions[[#This Row],[Debit (SAR)]]</f>
        <v>0</v>
      </c>
      <c r="H600" s="6">
        <f>Opening+SUM(INDEX(BankTransactions[Net (SAR)],1):BankTransactions[[#This Row],[Net (SAR)]])</f>
        <v>2791709.54</v>
      </c>
    </row>
    <row r="601" spans="1:8" x14ac:dyDescent="0.2">
      <c r="A601" s="5" t="s">
        <v>894</v>
      </c>
      <c r="B601" s="4">
        <v>46206</v>
      </c>
      <c r="C601" s="2" t="s">
        <v>3</v>
      </c>
      <c r="D601" s="12">
        <v>0</v>
      </c>
      <c r="E601" s="13">
        <v>6932.1</v>
      </c>
      <c r="F601" s="19" t="str" cm="1">
        <f t="array" ref="F601">IFERROR(LOOKUP(2^15,SEARCH(CategoryMap[Keyword],BankTransactions[[#This Row],[Description]]),CategoryMap[Category]),"Other")</f>
        <v>Supplier Payments</v>
      </c>
      <c r="G601" s="6">
        <f>BankTransactions[[#This Row],[Credit (SAR)]]-BankTransactions[[#This Row],[Debit (SAR)]]</f>
        <v>-6932.1</v>
      </c>
      <c r="H601" s="6">
        <f>Opening+SUM(INDEX(BankTransactions[Net (SAR)],1):BankTransactions[[#This Row],[Net (SAR)]])</f>
        <v>2784777.4400000004</v>
      </c>
    </row>
    <row r="602" spans="1:8" x14ac:dyDescent="0.2">
      <c r="A602" s="5" t="s">
        <v>895</v>
      </c>
      <c r="B602" s="4">
        <v>46207</v>
      </c>
      <c r="C602" s="2" t="s">
        <v>896</v>
      </c>
      <c r="D602" s="12">
        <v>14063.32</v>
      </c>
      <c r="E602" s="13">
        <v>0</v>
      </c>
      <c r="F602" s="19" t="str" cm="1">
        <f t="array" ref="F602">IFERROR(LOOKUP(2^15,SEARCH(CategoryMap[Keyword],BankTransactions[[#This Row],[Description]]),CategoryMap[Category]),"Other")</f>
        <v>Customer Receipts</v>
      </c>
      <c r="G602" s="6">
        <f>BankTransactions[[#This Row],[Credit (SAR)]]-BankTransactions[[#This Row],[Debit (SAR)]]</f>
        <v>14063.32</v>
      </c>
      <c r="H602" s="6">
        <f>Opening+SUM(INDEX(BankTransactions[Net (SAR)],1):BankTransactions[[#This Row],[Net (SAR)]])</f>
        <v>2798840.7600000002</v>
      </c>
    </row>
    <row r="603" spans="1:8" x14ac:dyDescent="0.2">
      <c r="A603" s="5" t="s">
        <v>897</v>
      </c>
      <c r="B603" s="4">
        <v>46207</v>
      </c>
      <c r="C603" s="2" t="s">
        <v>110</v>
      </c>
      <c r="D603" s="12">
        <v>5264.57</v>
      </c>
      <c r="E603" s="13">
        <v>0</v>
      </c>
      <c r="F603" s="19" t="str" cm="1">
        <f t="array" ref="F603">IFERROR(LOOKUP(2^15,SEARCH(CategoryMap[Keyword],BankTransactions[[#This Row],[Description]]),CategoryMap[Category]),"Other")</f>
        <v>Customer Receipts</v>
      </c>
      <c r="G603" s="6">
        <f>BankTransactions[[#This Row],[Credit (SAR)]]-BankTransactions[[#This Row],[Debit (SAR)]]</f>
        <v>5264.57</v>
      </c>
      <c r="H603" s="6">
        <f>Opening+SUM(INDEX(BankTransactions[Net (SAR)],1):BankTransactions[[#This Row],[Net (SAR)]])</f>
        <v>2804105.33</v>
      </c>
    </row>
    <row r="604" spans="1:8" x14ac:dyDescent="0.2">
      <c r="A604" s="5" t="s">
        <v>898</v>
      </c>
      <c r="B604" s="4">
        <v>46207</v>
      </c>
      <c r="C604" s="2" t="s">
        <v>186</v>
      </c>
      <c r="D604" s="12">
        <v>2842.9</v>
      </c>
      <c r="E604" s="13">
        <v>0</v>
      </c>
      <c r="F604" s="19" t="str" cm="1">
        <f t="array" ref="F604">IFERROR(LOOKUP(2^15,SEARCH(CategoryMap[Keyword],BankTransactions[[#This Row],[Description]]),CategoryMap[Category]),"Other")</f>
        <v>Customer Receipts</v>
      </c>
      <c r="G604" s="6">
        <f>BankTransactions[[#This Row],[Credit (SAR)]]-BankTransactions[[#This Row],[Debit (SAR)]]</f>
        <v>2842.9</v>
      </c>
      <c r="H604" s="6">
        <f>Opening+SUM(INDEX(BankTransactions[Net (SAR)],1):BankTransactions[[#This Row],[Net (SAR)]])</f>
        <v>2806948.2300000004</v>
      </c>
    </row>
    <row r="605" spans="1:8" x14ac:dyDescent="0.2">
      <c r="A605" s="5" t="s">
        <v>899</v>
      </c>
      <c r="B605" s="4">
        <v>46207</v>
      </c>
      <c r="C605" s="2" t="s">
        <v>12</v>
      </c>
      <c r="D605" s="12">
        <v>15187.06</v>
      </c>
      <c r="E605" s="13">
        <v>0</v>
      </c>
      <c r="F605" s="19" t="str" cm="1">
        <f t="array" ref="F605">IFERROR(LOOKUP(2^15,SEARCH(CategoryMap[Keyword],BankTransactions[[#This Row],[Description]]),CategoryMap[Category]),"Other")</f>
        <v>Cash Deposits</v>
      </c>
      <c r="G605" s="6">
        <f>BankTransactions[[#This Row],[Credit (SAR)]]-BankTransactions[[#This Row],[Debit (SAR)]]</f>
        <v>15187.06</v>
      </c>
      <c r="H605" s="6">
        <f>Opening+SUM(INDEX(BankTransactions[Net (SAR)],1):BankTransactions[[#This Row],[Net (SAR)]])</f>
        <v>2822135.2900000005</v>
      </c>
    </row>
    <row r="606" spans="1:8" x14ac:dyDescent="0.2">
      <c r="A606" s="5" t="s">
        <v>900</v>
      </c>
      <c r="B606" s="4">
        <v>46208</v>
      </c>
      <c r="C606" s="2" t="s">
        <v>237</v>
      </c>
      <c r="D606" s="12">
        <v>15649.36</v>
      </c>
      <c r="E606" s="13">
        <v>0</v>
      </c>
      <c r="F606" s="19" t="str" cm="1">
        <f t="array" ref="F606">IFERROR(LOOKUP(2^15,SEARCH(CategoryMap[Keyword],BankTransactions[[#This Row],[Description]]),CategoryMap[Category]),"Other")</f>
        <v>Customer Receipts</v>
      </c>
      <c r="G606" s="6">
        <f>BankTransactions[[#This Row],[Credit (SAR)]]-BankTransactions[[#This Row],[Debit (SAR)]]</f>
        <v>15649.36</v>
      </c>
      <c r="H606" s="6">
        <f>Opening+SUM(INDEX(BankTransactions[Net (SAR)],1):BankTransactions[[#This Row],[Net (SAR)]])</f>
        <v>2837784.6500000004</v>
      </c>
    </row>
    <row r="607" spans="1:8" x14ac:dyDescent="0.2">
      <c r="A607" s="5" t="s">
        <v>901</v>
      </c>
      <c r="B607" s="4">
        <v>46208</v>
      </c>
      <c r="C607" s="2" t="s">
        <v>902</v>
      </c>
      <c r="D607" s="12">
        <v>3933.24</v>
      </c>
      <c r="E607" s="13">
        <v>0</v>
      </c>
      <c r="F607" s="19" t="str" cm="1">
        <f t="array" ref="F607">IFERROR(LOOKUP(2^15,SEARCH(CategoryMap[Keyword],BankTransactions[[#This Row],[Description]]),CategoryMap[Category]),"Other")</f>
        <v>Customer Receipts</v>
      </c>
      <c r="G607" s="6">
        <f>BankTransactions[[#This Row],[Credit (SAR)]]-BankTransactions[[#This Row],[Debit (SAR)]]</f>
        <v>3933.24</v>
      </c>
      <c r="H607" s="6">
        <f>Opening+SUM(INDEX(BankTransactions[Net (SAR)],1):BankTransactions[[#This Row],[Net (SAR)]])</f>
        <v>2841717.89</v>
      </c>
    </row>
    <row r="608" spans="1:8" x14ac:dyDescent="0.2">
      <c r="A608" s="5" t="s">
        <v>903</v>
      </c>
      <c r="B608" s="4">
        <v>46209</v>
      </c>
      <c r="C608" s="2" t="s">
        <v>12</v>
      </c>
      <c r="D608" s="12">
        <v>18471.21</v>
      </c>
      <c r="E608" s="13">
        <v>0</v>
      </c>
      <c r="F608" s="19" t="str" cm="1">
        <f t="array" ref="F608">IFERROR(LOOKUP(2^15,SEARCH(CategoryMap[Keyword],BankTransactions[[#This Row],[Description]]),CategoryMap[Category]),"Other")</f>
        <v>Cash Deposits</v>
      </c>
      <c r="G608" s="6">
        <f>BankTransactions[[#This Row],[Credit (SAR)]]-BankTransactions[[#This Row],[Debit (SAR)]]</f>
        <v>18471.21</v>
      </c>
      <c r="H608" s="6">
        <f>Opening+SUM(INDEX(BankTransactions[Net (SAR)],1):BankTransactions[[#This Row],[Net (SAR)]])</f>
        <v>2860189.1000000006</v>
      </c>
    </row>
    <row r="609" spans="1:8" x14ac:dyDescent="0.2">
      <c r="A609" s="5" t="s">
        <v>904</v>
      </c>
      <c r="B609" s="4">
        <v>46210</v>
      </c>
      <c r="C609" s="2" t="s">
        <v>905</v>
      </c>
      <c r="D609" s="12">
        <v>9592.7000000000007</v>
      </c>
      <c r="E609" s="13">
        <v>0</v>
      </c>
      <c r="F609" s="19" t="str" cm="1">
        <f t="array" ref="F609">IFERROR(LOOKUP(2^15,SEARCH(CategoryMap[Keyword],BankTransactions[[#This Row],[Description]]),CategoryMap[Category]),"Other")</f>
        <v>Customer Receipts</v>
      </c>
      <c r="G609" s="6">
        <f>BankTransactions[[#This Row],[Credit (SAR)]]-BankTransactions[[#This Row],[Debit (SAR)]]</f>
        <v>9592.7000000000007</v>
      </c>
      <c r="H609" s="6">
        <f>Opening+SUM(INDEX(BankTransactions[Net (SAR)],1):BankTransactions[[#This Row],[Net (SAR)]])</f>
        <v>2869781.8000000003</v>
      </c>
    </row>
    <row r="610" spans="1:8" x14ac:dyDescent="0.2">
      <c r="A610" s="5" t="s">
        <v>906</v>
      </c>
      <c r="B610" s="4">
        <v>46211</v>
      </c>
      <c r="C610" s="2" t="s">
        <v>907</v>
      </c>
      <c r="D610" s="12">
        <v>3460.98</v>
      </c>
      <c r="E610" s="13">
        <v>0</v>
      </c>
      <c r="F610" s="19" t="str" cm="1">
        <f t="array" ref="F610">IFERROR(LOOKUP(2^15,SEARCH(CategoryMap[Keyword],BankTransactions[[#This Row],[Description]]),CategoryMap[Category]),"Other")</f>
        <v>Customer Receipts</v>
      </c>
      <c r="G610" s="6">
        <f>BankTransactions[[#This Row],[Credit (SAR)]]-BankTransactions[[#This Row],[Debit (SAR)]]</f>
        <v>3460.98</v>
      </c>
      <c r="H610" s="6">
        <f>Opening+SUM(INDEX(BankTransactions[Net (SAR)],1):BankTransactions[[#This Row],[Net (SAR)]])</f>
        <v>2873242.7800000003</v>
      </c>
    </row>
    <row r="611" spans="1:8" x14ac:dyDescent="0.2">
      <c r="A611" s="5" t="s">
        <v>908</v>
      </c>
      <c r="B611" s="4">
        <v>46211</v>
      </c>
      <c r="C611" s="2" t="s">
        <v>909</v>
      </c>
      <c r="D611" s="12">
        <v>2102.75</v>
      </c>
      <c r="E611" s="13">
        <v>0</v>
      </c>
      <c r="F611" s="19" t="str" cm="1">
        <f t="array" ref="F611">IFERROR(LOOKUP(2^15,SEARCH(CategoryMap[Keyword],BankTransactions[[#This Row],[Description]]),CategoryMap[Category]),"Other")</f>
        <v>Customer Receipts</v>
      </c>
      <c r="G611" s="6">
        <f>BankTransactions[[#This Row],[Credit (SAR)]]-BankTransactions[[#This Row],[Debit (SAR)]]</f>
        <v>2102.75</v>
      </c>
      <c r="H611" s="6">
        <f>Opening+SUM(INDEX(BankTransactions[Net (SAR)],1):BankTransactions[[#This Row],[Net (SAR)]])</f>
        <v>2875345.5300000003</v>
      </c>
    </row>
    <row r="612" spans="1:8" x14ac:dyDescent="0.2">
      <c r="A612" s="5" t="s">
        <v>910</v>
      </c>
      <c r="B612" s="4">
        <v>46211</v>
      </c>
      <c r="C612" s="2" t="s">
        <v>190</v>
      </c>
      <c r="D612" s="12">
        <v>5482.26</v>
      </c>
      <c r="E612" s="13">
        <v>0</v>
      </c>
      <c r="F612" s="19" t="str" cm="1">
        <f t="array" ref="F612">IFERROR(LOOKUP(2^15,SEARCH(CategoryMap[Keyword],BankTransactions[[#This Row],[Description]]),CategoryMap[Category]),"Other")</f>
        <v>Customer Receipts</v>
      </c>
      <c r="G612" s="6">
        <f>BankTransactions[[#This Row],[Credit (SAR)]]-BankTransactions[[#This Row],[Debit (SAR)]]</f>
        <v>5482.26</v>
      </c>
      <c r="H612" s="6">
        <f>Opening+SUM(INDEX(BankTransactions[Net (SAR)],1):BankTransactions[[#This Row],[Net (SAR)]])</f>
        <v>2880827.7900000005</v>
      </c>
    </row>
    <row r="613" spans="1:8" x14ac:dyDescent="0.2">
      <c r="A613" s="5" t="s">
        <v>911</v>
      </c>
      <c r="B613" s="4">
        <v>46211</v>
      </c>
      <c r="C613" s="2" t="s">
        <v>7</v>
      </c>
      <c r="D613" s="12">
        <v>0</v>
      </c>
      <c r="E613" s="13">
        <v>16932.47</v>
      </c>
      <c r="F613" s="19" t="str" cm="1">
        <f t="array" ref="F613">IFERROR(LOOKUP(2^15,SEARCH(CategoryMap[Keyword],BankTransactions[[#This Row],[Description]]),CategoryMap[Category]),"Other")</f>
        <v>Supplier Payments</v>
      </c>
      <c r="G613" s="6">
        <f>BankTransactions[[#This Row],[Credit (SAR)]]-BankTransactions[[#This Row],[Debit (SAR)]]</f>
        <v>-16932.47</v>
      </c>
      <c r="H613" s="6">
        <f>Opening+SUM(INDEX(BankTransactions[Net (SAR)],1):BankTransactions[[#This Row],[Net (SAR)]])</f>
        <v>2863895.3200000003</v>
      </c>
    </row>
    <row r="614" spans="1:8" x14ac:dyDescent="0.2">
      <c r="A614" s="5" t="s">
        <v>912</v>
      </c>
      <c r="B614" s="4">
        <v>46211</v>
      </c>
      <c r="C614" s="2" t="s">
        <v>7</v>
      </c>
      <c r="D614" s="12">
        <v>0</v>
      </c>
      <c r="E614" s="13">
        <v>35630.870000000003</v>
      </c>
      <c r="F614" s="19" t="str" cm="1">
        <f t="array" ref="F614">IFERROR(LOOKUP(2^15,SEARCH(CategoryMap[Keyword],BankTransactions[[#This Row],[Description]]),CategoryMap[Category]),"Other")</f>
        <v>Supplier Payments</v>
      </c>
      <c r="G614" s="6">
        <f>BankTransactions[[#This Row],[Credit (SAR)]]-BankTransactions[[#This Row],[Debit (SAR)]]</f>
        <v>-35630.870000000003</v>
      </c>
      <c r="H614" s="6">
        <f>Opening+SUM(INDEX(BankTransactions[Net (SAR)],1):BankTransactions[[#This Row],[Net (SAR)]])</f>
        <v>2828264.45</v>
      </c>
    </row>
    <row r="615" spans="1:8" x14ac:dyDescent="0.2">
      <c r="A615" s="5" t="s">
        <v>913</v>
      </c>
      <c r="B615" s="4">
        <v>46212</v>
      </c>
      <c r="C615" s="2" t="s">
        <v>7</v>
      </c>
      <c r="D615" s="12">
        <v>0</v>
      </c>
      <c r="E615" s="13">
        <v>17608.46</v>
      </c>
      <c r="F615" s="19" t="str" cm="1">
        <f t="array" ref="F615">IFERROR(LOOKUP(2^15,SEARCH(CategoryMap[Keyword],BankTransactions[[#This Row],[Description]]),CategoryMap[Category]),"Other")</f>
        <v>Supplier Payments</v>
      </c>
      <c r="G615" s="6">
        <f>BankTransactions[[#This Row],[Credit (SAR)]]-BankTransactions[[#This Row],[Debit (SAR)]]</f>
        <v>-17608.46</v>
      </c>
      <c r="H615" s="6">
        <f>Opening+SUM(INDEX(BankTransactions[Net (SAR)],1):BankTransactions[[#This Row],[Net (SAR)]])</f>
        <v>2810655.99</v>
      </c>
    </row>
    <row r="616" spans="1:8" x14ac:dyDescent="0.2">
      <c r="A616" s="5" t="s">
        <v>914</v>
      </c>
      <c r="B616" s="4">
        <v>46212</v>
      </c>
      <c r="C616" s="2" t="s">
        <v>10</v>
      </c>
      <c r="D616" s="12">
        <v>0</v>
      </c>
      <c r="E616" s="13">
        <v>26351.85</v>
      </c>
      <c r="F616" s="19" t="str" cm="1">
        <f t="array" ref="F616">IFERROR(LOOKUP(2^15,SEARCH(CategoryMap[Keyword],BankTransactions[[#This Row],[Description]]),CategoryMap[Category]),"Other")</f>
        <v>Fuel &amp; Logistics</v>
      </c>
      <c r="G616" s="6">
        <f>BankTransactions[[#This Row],[Credit (SAR)]]-BankTransactions[[#This Row],[Debit (SAR)]]</f>
        <v>-26351.85</v>
      </c>
      <c r="H616" s="6">
        <f>Opening+SUM(INDEX(BankTransactions[Net (SAR)],1):BankTransactions[[#This Row],[Net (SAR)]])</f>
        <v>2784304.14</v>
      </c>
    </row>
    <row r="617" spans="1:8" x14ac:dyDescent="0.2">
      <c r="A617" s="5" t="s">
        <v>915</v>
      </c>
      <c r="B617" s="4">
        <v>46213</v>
      </c>
      <c r="C617" s="2" t="s">
        <v>391</v>
      </c>
      <c r="D617" s="12">
        <v>10553.85</v>
      </c>
      <c r="E617" s="13">
        <v>0</v>
      </c>
      <c r="F617" s="19" t="str" cm="1">
        <f t="array" ref="F617">IFERROR(LOOKUP(2^15,SEARCH(CategoryMap[Keyword],BankTransactions[[#This Row],[Description]]),CategoryMap[Category]),"Other")</f>
        <v>Customer Receipts</v>
      </c>
      <c r="G617" s="6">
        <f>BankTransactions[[#This Row],[Credit (SAR)]]-BankTransactions[[#This Row],[Debit (SAR)]]</f>
        <v>10553.85</v>
      </c>
      <c r="H617" s="6">
        <f>Opening+SUM(INDEX(BankTransactions[Net (SAR)],1):BankTransactions[[#This Row],[Net (SAR)]])</f>
        <v>2794857.99</v>
      </c>
    </row>
    <row r="618" spans="1:8" x14ac:dyDescent="0.2">
      <c r="A618" s="5" t="s">
        <v>916</v>
      </c>
      <c r="B618" s="4">
        <v>46214</v>
      </c>
      <c r="C618" s="2" t="s">
        <v>917</v>
      </c>
      <c r="D618" s="12">
        <v>14475.68</v>
      </c>
      <c r="E618" s="13">
        <v>0</v>
      </c>
      <c r="F618" s="19" t="str" cm="1">
        <f t="array" ref="F618">IFERROR(LOOKUP(2^15,SEARCH(CategoryMap[Keyword],BankTransactions[[#This Row],[Description]]),CategoryMap[Category]),"Other")</f>
        <v>Customer Receipts</v>
      </c>
      <c r="G618" s="6">
        <f>BankTransactions[[#This Row],[Credit (SAR)]]-BankTransactions[[#This Row],[Debit (SAR)]]</f>
        <v>14475.68</v>
      </c>
      <c r="H618" s="6">
        <f>Opening+SUM(INDEX(BankTransactions[Net (SAR)],1):BankTransactions[[#This Row],[Net (SAR)]])</f>
        <v>2809333.6700000004</v>
      </c>
    </row>
    <row r="619" spans="1:8" x14ac:dyDescent="0.2">
      <c r="A619" s="5" t="s">
        <v>918</v>
      </c>
      <c r="B619" s="4">
        <v>46214</v>
      </c>
      <c r="C619" s="2" t="s">
        <v>919</v>
      </c>
      <c r="D619" s="12">
        <v>3567.83</v>
      </c>
      <c r="E619" s="13">
        <v>0</v>
      </c>
      <c r="F619" s="19" t="str" cm="1">
        <f t="array" ref="F619">IFERROR(LOOKUP(2^15,SEARCH(CategoryMap[Keyword],BankTransactions[[#This Row],[Description]]),CategoryMap[Category]),"Other")</f>
        <v>Customer Receipts</v>
      </c>
      <c r="G619" s="6">
        <f>BankTransactions[[#This Row],[Credit (SAR)]]-BankTransactions[[#This Row],[Debit (SAR)]]</f>
        <v>3567.83</v>
      </c>
      <c r="H619" s="6">
        <f>Opening+SUM(INDEX(BankTransactions[Net (SAR)],1):BankTransactions[[#This Row],[Net (SAR)]])</f>
        <v>2812901.5000000005</v>
      </c>
    </row>
    <row r="620" spans="1:8" x14ac:dyDescent="0.2">
      <c r="A620" s="5" t="s">
        <v>920</v>
      </c>
      <c r="B620" s="4">
        <v>46214</v>
      </c>
      <c r="C620" s="2" t="s">
        <v>12</v>
      </c>
      <c r="D620" s="12">
        <v>16314.62</v>
      </c>
      <c r="E620" s="13">
        <v>0</v>
      </c>
      <c r="F620" s="19" t="str" cm="1">
        <f t="array" ref="F620">IFERROR(LOOKUP(2^15,SEARCH(CategoryMap[Keyword],BankTransactions[[#This Row],[Description]]),CategoryMap[Category]),"Other")</f>
        <v>Cash Deposits</v>
      </c>
      <c r="G620" s="6">
        <f>BankTransactions[[#This Row],[Credit (SAR)]]-BankTransactions[[#This Row],[Debit (SAR)]]</f>
        <v>16314.62</v>
      </c>
      <c r="H620" s="6">
        <f>Opening+SUM(INDEX(BankTransactions[Net (SAR)],1):BankTransactions[[#This Row],[Net (SAR)]])</f>
        <v>2829216.12</v>
      </c>
    </row>
    <row r="621" spans="1:8" x14ac:dyDescent="0.2">
      <c r="A621" s="5" t="s">
        <v>921</v>
      </c>
      <c r="B621" s="4">
        <v>46215</v>
      </c>
      <c r="C621" s="2" t="s">
        <v>922</v>
      </c>
      <c r="D621" s="12">
        <v>20258.78</v>
      </c>
      <c r="E621" s="13">
        <v>0</v>
      </c>
      <c r="F621" s="19" t="str" cm="1">
        <f t="array" ref="F621">IFERROR(LOOKUP(2^15,SEARCH(CategoryMap[Keyword],BankTransactions[[#This Row],[Description]]),CategoryMap[Category]),"Other")</f>
        <v>Customer Receipts</v>
      </c>
      <c r="G621" s="6">
        <f>BankTransactions[[#This Row],[Credit (SAR)]]-BankTransactions[[#This Row],[Debit (SAR)]]</f>
        <v>20258.78</v>
      </c>
      <c r="H621" s="6">
        <f>Opening+SUM(INDEX(BankTransactions[Net (SAR)],1):BankTransactions[[#This Row],[Net (SAR)]])</f>
        <v>2849474.9000000004</v>
      </c>
    </row>
    <row r="622" spans="1:8" x14ac:dyDescent="0.2">
      <c r="A622" s="5" t="s">
        <v>923</v>
      </c>
      <c r="B622" s="4">
        <v>46215</v>
      </c>
      <c r="C622" s="2" t="s">
        <v>924</v>
      </c>
      <c r="D622" s="12">
        <v>12608.21</v>
      </c>
      <c r="E622" s="13">
        <v>0</v>
      </c>
      <c r="F622" s="19" t="str" cm="1">
        <f t="array" ref="F622">IFERROR(LOOKUP(2^15,SEARCH(CategoryMap[Keyword],BankTransactions[[#This Row],[Description]]),CategoryMap[Category]),"Other")</f>
        <v>Customer Receipts</v>
      </c>
      <c r="G622" s="6">
        <f>BankTransactions[[#This Row],[Credit (SAR)]]-BankTransactions[[#This Row],[Debit (SAR)]]</f>
        <v>12608.21</v>
      </c>
      <c r="H622" s="6">
        <f>Opening+SUM(INDEX(BankTransactions[Net (SAR)],1):BankTransactions[[#This Row],[Net (SAR)]])</f>
        <v>2862083.1100000003</v>
      </c>
    </row>
    <row r="623" spans="1:8" x14ac:dyDescent="0.2">
      <c r="A623" s="5" t="s">
        <v>925</v>
      </c>
      <c r="B623" s="4">
        <v>46216</v>
      </c>
      <c r="C623" s="2" t="s">
        <v>926</v>
      </c>
      <c r="D623" s="12">
        <v>3594.04</v>
      </c>
      <c r="E623" s="13">
        <v>0</v>
      </c>
      <c r="F623" s="19" t="str" cm="1">
        <f t="array" ref="F623">IFERROR(LOOKUP(2^15,SEARCH(CategoryMap[Keyword],BankTransactions[[#This Row],[Description]]),CategoryMap[Category]),"Other")</f>
        <v>Customer Receipts</v>
      </c>
      <c r="G623" s="6">
        <f>BankTransactions[[#This Row],[Credit (SAR)]]-BankTransactions[[#This Row],[Debit (SAR)]]</f>
        <v>3594.04</v>
      </c>
      <c r="H623" s="6">
        <f>Opening+SUM(INDEX(BankTransactions[Net (SAR)],1):BankTransactions[[#This Row],[Net (SAR)]])</f>
        <v>2865677.1500000004</v>
      </c>
    </row>
    <row r="624" spans="1:8" x14ac:dyDescent="0.2">
      <c r="A624" s="5" t="s">
        <v>927</v>
      </c>
      <c r="B624" s="4">
        <v>46216</v>
      </c>
      <c r="C624" s="2" t="s">
        <v>820</v>
      </c>
      <c r="D624" s="12">
        <v>1999.18</v>
      </c>
      <c r="E624" s="13">
        <v>0</v>
      </c>
      <c r="F624" s="19" t="str" cm="1">
        <f t="array" ref="F624">IFERROR(LOOKUP(2^15,SEARCH(CategoryMap[Keyword],BankTransactions[[#This Row],[Description]]),CategoryMap[Category]),"Other")</f>
        <v>Customer Receipts</v>
      </c>
      <c r="G624" s="6">
        <f>BankTransactions[[#This Row],[Credit (SAR)]]-BankTransactions[[#This Row],[Debit (SAR)]]</f>
        <v>1999.18</v>
      </c>
      <c r="H624" s="6">
        <f>Opening+SUM(INDEX(BankTransactions[Net (SAR)],1):BankTransactions[[#This Row],[Net (SAR)]])</f>
        <v>2867676.33</v>
      </c>
    </row>
    <row r="625" spans="1:8" x14ac:dyDescent="0.2">
      <c r="A625" s="5" t="s">
        <v>928</v>
      </c>
      <c r="B625" s="4">
        <v>46216</v>
      </c>
      <c r="C625" s="2" t="s">
        <v>929</v>
      </c>
      <c r="D625" s="12">
        <v>3253.23</v>
      </c>
      <c r="E625" s="13">
        <v>0</v>
      </c>
      <c r="F625" s="19" t="str" cm="1">
        <f t="array" ref="F625">IFERROR(LOOKUP(2^15,SEARCH(CategoryMap[Keyword],BankTransactions[[#This Row],[Description]]),CategoryMap[Category]),"Other")</f>
        <v>Customer Receipts</v>
      </c>
      <c r="G625" s="6">
        <f>BankTransactions[[#This Row],[Credit (SAR)]]-BankTransactions[[#This Row],[Debit (SAR)]]</f>
        <v>3253.23</v>
      </c>
      <c r="H625" s="6">
        <f>Opening+SUM(INDEX(BankTransactions[Net (SAR)],1):BankTransactions[[#This Row],[Net (SAR)]])</f>
        <v>2870929.56</v>
      </c>
    </row>
    <row r="626" spans="1:8" x14ac:dyDescent="0.2">
      <c r="A626" s="5" t="s">
        <v>930</v>
      </c>
      <c r="B626" s="4">
        <v>46216</v>
      </c>
      <c r="C626" s="2" t="s">
        <v>10</v>
      </c>
      <c r="D626" s="12">
        <v>0</v>
      </c>
      <c r="E626" s="13">
        <v>17006.61</v>
      </c>
      <c r="F626" s="19" t="str" cm="1">
        <f t="array" ref="F626">IFERROR(LOOKUP(2^15,SEARCH(CategoryMap[Keyword],BankTransactions[[#This Row],[Description]]),CategoryMap[Category]),"Other")</f>
        <v>Fuel &amp; Logistics</v>
      </c>
      <c r="G626" s="6">
        <f>BankTransactions[[#This Row],[Credit (SAR)]]-BankTransactions[[#This Row],[Debit (SAR)]]</f>
        <v>-17006.61</v>
      </c>
      <c r="H626" s="6">
        <f>Opening+SUM(INDEX(BankTransactions[Net (SAR)],1):BankTransactions[[#This Row],[Net (SAR)]])</f>
        <v>2853922.95</v>
      </c>
    </row>
    <row r="627" spans="1:8" x14ac:dyDescent="0.2">
      <c r="A627" s="5" t="s">
        <v>931</v>
      </c>
      <c r="B627" s="4">
        <v>46217</v>
      </c>
      <c r="C627" s="2" t="s">
        <v>614</v>
      </c>
      <c r="D627" s="12">
        <v>14187.09</v>
      </c>
      <c r="E627" s="13">
        <v>0</v>
      </c>
      <c r="F627" s="19" t="str" cm="1">
        <f t="array" ref="F627">IFERROR(LOOKUP(2^15,SEARCH(CategoryMap[Keyword],BankTransactions[[#This Row],[Description]]),CategoryMap[Category]),"Other")</f>
        <v>Customer Receipts</v>
      </c>
      <c r="G627" s="6">
        <f>BankTransactions[[#This Row],[Credit (SAR)]]-BankTransactions[[#This Row],[Debit (SAR)]]</f>
        <v>14187.09</v>
      </c>
      <c r="H627" s="6">
        <f>Opening+SUM(INDEX(BankTransactions[Net (SAR)],1):BankTransactions[[#This Row],[Net (SAR)]])</f>
        <v>2868110.04</v>
      </c>
    </row>
    <row r="628" spans="1:8" x14ac:dyDescent="0.2">
      <c r="A628" s="5" t="s">
        <v>932</v>
      </c>
      <c r="B628" s="4">
        <v>46217</v>
      </c>
      <c r="C628" s="2" t="s">
        <v>3</v>
      </c>
      <c r="D628" s="12">
        <v>0</v>
      </c>
      <c r="E628" s="13">
        <v>20545.919999999998</v>
      </c>
      <c r="F628" s="19" t="str" cm="1">
        <f t="array" ref="F628">IFERROR(LOOKUP(2^15,SEARCH(CategoryMap[Keyword],BankTransactions[[#This Row],[Description]]),CategoryMap[Category]),"Other")</f>
        <v>Supplier Payments</v>
      </c>
      <c r="G628" s="6">
        <f>BankTransactions[[#This Row],[Credit (SAR)]]-BankTransactions[[#This Row],[Debit (SAR)]]</f>
        <v>-20545.919999999998</v>
      </c>
      <c r="H628" s="6">
        <f>Opening+SUM(INDEX(BankTransactions[Net (SAR)],1):BankTransactions[[#This Row],[Net (SAR)]])</f>
        <v>2847564.12</v>
      </c>
    </row>
    <row r="629" spans="1:8" x14ac:dyDescent="0.2">
      <c r="A629" s="5" t="s">
        <v>933</v>
      </c>
      <c r="B629" s="4">
        <v>46218</v>
      </c>
      <c r="C629" s="2" t="s">
        <v>934</v>
      </c>
      <c r="D629" s="12">
        <v>7755.03</v>
      </c>
      <c r="E629" s="13">
        <v>0</v>
      </c>
      <c r="F629" s="19" t="str" cm="1">
        <f t="array" ref="F629">IFERROR(LOOKUP(2^15,SEARCH(CategoryMap[Keyword],BankTransactions[[#This Row],[Description]]),CategoryMap[Category]),"Other")</f>
        <v>Customer Receipts</v>
      </c>
      <c r="G629" s="6">
        <f>BankTransactions[[#This Row],[Credit (SAR)]]-BankTransactions[[#This Row],[Debit (SAR)]]</f>
        <v>7755.03</v>
      </c>
      <c r="H629" s="6">
        <f>Opening+SUM(INDEX(BankTransactions[Net (SAR)],1):BankTransactions[[#This Row],[Net (SAR)]])</f>
        <v>2855319.1500000004</v>
      </c>
    </row>
    <row r="630" spans="1:8" x14ac:dyDescent="0.2">
      <c r="A630" s="5" t="s">
        <v>935</v>
      </c>
      <c r="B630" s="4">
        <v>46218</v>
      </c>
      <c r="C630" s="2" t="s">
        <v>611</v>
      </c>
      <c r="D630" s="12">
        <v>2310.7600000000002</v>
      </c>
      <c r="E630" s="13">
        <v>0</v>
      </c>
      <c r="F630" s="19" t="str" cm="1">
        <f t="array" ref="F630">IFERROR(LOOKUP(2^15,SEARCH(CategoryMap[Keyword],BankTransactions[[#This Row],[Description]]),CategoryMap[Category]),"Other")</f>
        <v>Customer Receipts</v>
      </c>
      <c r="G630" s="6">
        <f>BankTransactions[[#This Row],[Credit (SAR)]]-BankTransactions[[#This Row],[Debit (SAR)]]</f>
        <v>2310.7600000000002</v>
      </c>
      <c r="H630" s="6">
        <f>Opening+SUM(INDEX(BankTransactions[Net (SAR)],1):BankTransactions[[#This Row],[Net (SAR)]])</f>
        <v>2857629.91</v>
      </c>
    </row>
    <row r="631" spans="1:8" x14ac:dyDescent="0.2">
      <c r="A631" s="5" t="s">
        <v>936</v>
      </c>
      <c r="B631" s="4">
        <v>46218</v>
      </c>
      <c r="C631" s="2" t="s">
        <v>10</v>
      </c>
      <c r="D631" s="12">
        <v>0</v>
      </c>
      <c r="E631" s="13">
        <v>16455.759999999998</v>
      </c>
      <c r="F631" s="19" t="str" cm="1">
        <f t="array" ref="F631">IFERROR(LOOKUP(2^15,SEARCH(CategoryMap[Keyword],BankTransactions[[#This Row],[Description]]),CategoryMap[Category]),"Other")</f>
        <v>Fuel &amp; Logistics</v>
      </c>
      <c r="G631" s="6">
        <f>BankTransactions[[#This Row],[Credit (SAR)]]-BankTransactions[[#This Row],[Debit (SAR)]]</f>
        <v>-16455.759999999998</v>
      </c>
      <c r="H631" s="6">
        <f>Opening+SUM(INDEX(BankTransactions[Net (SAR)],1):BankTransactions[[#This Row],[Net (SAR)]])</f>
        <v>2841174.1500000004</v>
      </c>
    </row>
    <row r="632" spans="1:8" x14ac:dyDescent="0.2">
      <c r="A632" s="5" t="s">
        <v>937</v>
      </c>
      <c r="B632" s="4">
        <v>46218</v>
      </c>
      <c r="C632" s="2" t="s">
        <v>12</v>
      </c>
      <c r="D632" s="12">
        <v>9972.23</v>
      </c>
      <c r="E632" s="13">
        <v>0</v>
      </c>
      <c r="F632" s="19" t="str" cm="1">
        <f t="array" ref="F632">IFERROR(LOOKUP(2^15,SEARCH(CategoryMap[Keyword],BankTransactions[[#This Row],[Description]]),CategoryMap[Category]),"Other")</f>
        <v>Cash Deposits</v>
      </c>
      <c r="G632" s="6">
        <f>BankTransactions[[#This Row],[Credit (SAR)]]-BankTransactions[[#This Row],[Debit (SAR)]]</f>
        <v>9972.23</v>
      </c>
      <c r="H632" s="6">
        <f>Opening+SUM(INDEX(BankTransactions[Net (SAR)],1):BankTransactions[[#This Row],[Net (SAR)]])</f>
        <v>2851146.3800000004</v>
      </c>
    </row>
    <row r="633" spans="1:8" x14ac:dyDescent="0.2">
      <c r="A633" s="5" t="s">
        <v>938</v>
      </c>
      <c r="B633" s="4">
        <v>46218</v>
      </c>
      <c r="C633" s="2" t="s">
        <v>3</v>
      </c>
      <c r="D633" s="12">
        <v>0</v>
      </c>
      <c r="E633" s="13">
        <v>18296.990000000002</v>
      </c>
      <c r="F633" s="19" t="str" cm="1">
        <f t="array" ref="F633">IFERROR(LOOKUP(2^15,SEARCH(CategoryMap[Keyword],BankTransactions[[#This Row],[Description]]),CategoryMap[Category]),"Other")</f>
        <v>Supplier Payments</v>
      </c>
      <c r="G633" s="6">
        <f>BankTransactions[[#This Row],[Credit (SAR)]]-BankTransactions[[#This Row],[Debit (SAR)]]</f>
        <v>-18296.990000000002</v>
      </c>
      <c r="H633" s="6">
        <f>Opening+SUM(INDEX(BankTransactions[Net (SAR)],1):BankTransactions[[#This Row],[Net (SAR)]])</f>
        <v>2832849.39</v>
      </c>
    </row>
    <row r="634" spans="1:8" x14ac:dyDescent="0.2">
      <c r="A634" s="5" t="s">
        <v>939</v>
      </c>
      <c r="B634" s="4">
        <v>46219</v>
      </c>
      <c r="C634" s="2" t="s">
        <v>940</v>
      </c>
      <c r="D634" s="12">
        <v>7733.75</v>
      </c>
      <c r="E634" s="13">
        <v>0</v>
      </c>
      <c r="F634" s="19" t="str" cm="1">
        <f t="array" ref="F634">IFERROR(LOOKUP(2^15,SEARCH(CategoryMap[Keyword],BankTransactions[[#This Row],[Description]]),CategoryMap[Category]),"Other")</f>
        <v>Customer Receipts</v>
      </c>
      <c r="G634" s="6">
        <f>BankTransactions[[#This Row],[Credit (SAR)]]-BankTransactions[[#This Row],[Debit (SAR)]]</f>
        <v>7733.75</v>
      </c>
      <c r="H634" s="6">
        <f>Opening+SUM(INDEX(BankTransactions[Net (SAR)],1):BankTransactions[[#This Row],[Net (SAR)]])</f>
        <v>2840583.14</v>
      </c>
    </row>
    <row r="635" spans="1:8" x14ac:dyDescent="0.2">
      <c r="A635" s="5" t="s">
        <v>941</v>
      </c>
      <c r="B635" s="4">
        <v>46219</v>
      </c>
      <c r="C635" s="2" t="s">
        <v>942</v>
      </c>
      <c r="D635" s="12">
        <v>5906.61</v>
      </c>
      <c r="E635" s="13">
        <v>0</v>
      </c>
      <c r="F635" s="19" t="str" cm="1">
        <f t="array" ref="F635">IFERROR(LOOKUP(2^15,SEARCH(CategoryMap[Keyword],BankTransactions[[#This Row],[Description]]),CategoryMap[Category]),"Other")</f>
        <v>Customer Receipts</v>
      </c>
      <c r="G635" s="6">
        <f>BankTransactions[[#This Row],[Credit (SAR)]]-BankTransactions[[#This Row],[Debit (SAR)]]</f>
        <v>5906.61</v>
      </c>
      <c r="H635" s="6">
        <f>Opening+SUM(INDEX(BankTransactions[Net (SAR)],1):BankTransactions[[#This Row],[Net (SAR)]])</f>
        <v>2846489.7500000005</v>
      </c>
    </row>
    <row r="636" spans="1:8" x14ac:dyDescent="0.2">
      <c r="A636" s="5" t="s">
        <v>943</v>
      </c>
      <c r="B636" s="4">
        <v>46219</v>
      </c>
      <c r="C636" s="2" t="s">
        <v>944</v>
      </c>
      <c r="D636" s="12">
        <v>5715.67</v>
      </c>
      <c r="E636" s="13">
        <v>0</v>
      </c>
      <c r="F636" s="19" t="str" cm="1">
        <f t="array" ref="F636">IFERROR(LOOKUP(2^15,SEARCH(CategoryMap[Keyword],BankTransactions[[#This Row],[Description]]),CategoryMap[Category]),"Other")</f>
        <v>Customer Receipts</v>
      </c>
      <c r="G636" s="6">
        <f>BankTransactions[[#This Row],[Credit (SAR)]]-BankTransactions[[#This Row],[Debit (SAR)]]</f>
        <v>5715.67</v>
      </c>
      <c r="H636" s="6">
        <f>Opening+SUM(INDEX(BankTransactions[Net (SAR)],1):BankTransactions[[#This Row],[Net (SAR)]])</f>
        <v>2852205.4200000004</v>
      </c>
    </row>
    <row r="637" spans="1:8" x14ac:dyDescent="0.2">
      <c r="A637" s="5" t="s">
        <v>945</v>
      </c>
      <c r="B637" s="4">
        <v>46219</v>
      </c>
      <c r="C637" s="2" t="s">
        <v>10</v>
      </c>
      <c r="D637" s="12">
        <v>0</v>
      </c>
      <c r="E637" s="13">
        <v>37230.5</v>
      </c>
      <c r="F637" s="19" t="str" cm="1">
        <f t="array" ref="F637">IFERROR(LOOKUP(2^15,SEARCH(CategoryMap[Keyword],BankTransactions[[#This Row],[Description]]),CategoryMap[Category]),"Other")</f>
        <v>Fuel &amp; Logistics</v>
      </c>
      <c r="G637" s="6">
        <f>BankTransactions[[#This Row],[Credit (SAR)]]-BankTransactions[[#This Row],[Debit (SAR)]]</f>
        <v>-37230.5</v>
      </c>
      <c r="H637" s="6">
        <f>Opening+SUM(INDEX(BankTransactions[Net (SAR)],1):BankTransactions[[#This Row],[Net (SAR)]])</f>
        <v>2814974.9200000004</v>
      </c>
    </row>
    <row r="638" spans="1:8" x14ac:dyDescent="0.2">
      <c r="A638" s="5" t="s">
        <v>946</v>
      </c>
      <c r="B638" s="4">
        <v>46220</v>
      </c>
      <c r="C638" s="2" t="s">
        <v>947</v>
      </c>
      <c r="D638" s="12">
        <v>1491.08</v>
      </c>
      <c r="E638" s="13">
        <v>0</v>
      </c>
      <c r="F638" s="19" t="str" cm="1">
        <f t="array" ref="F638">IFERROR(LOOKUP(2^15,SEARCH(CategoryMap[Keyword],BankTransactions[[#This Row],[Description]]),CategoryMap[Category]),"Other")</f>
        <v>Customer Receipts</v>
      </c>
      <c r="G638" s="6">
        <f>BankTransactions[[#This Row],[Credit (SAR)]]-BankTransactions[[#This Row],[Debit (SAR)]]</f>
        <v>1491.08</v>
      </c>
      <c r="H638" s="6">
        <f>Opening+SUM(INDEX(BankTransactions[Net (SAR)],1):BankTransactions[[#This Row],[Net (SAR)]])</f>
        <v>2816466.0000000005</v>
      </c>
    </row>
    <row r="639" spans="1:8" x14ac:dyDescent="0.2">
      <c r="A639" s="5" t="s">
        <v>948</v>
      </c>
      <c r="B639" s="4">
        <v>46222</v>
      </c>
      <c r="C639" s="2" t="s">
        <v>949</v>
      </c>
      <c r="D639" s="12">
        <v>31767.42</v>
      </c>
      <c r="E639" s="13">
        <v>0</v>
      </c>
      <c r="F639" s="19" t="str" cm="1">
        <f t="array" ref="F639">IFERROR(LOOKUP(2^15,SEARCH(CategoryMap[Keyword],BankTransactions[[#This Row],[Description]]),CategoryMap[Category]),"Other")</f>
        <v>Customer Receipts</v>
      </c>
      <c r="G639" s="6">
        <f>BankTransactions[[#This Row],[Credit (SAR)]]-BankTransactions[[#This Row],[Debit (SAR)]]</f>
        <v>31767.42</v>
      </c>
      <c r="H639" s="6">
        <f>Opening+SUM(INDEX(BankTransactions[Net (SAR)],1):BankTransactions[[#This Row],[Net (SAR)]])</f>
        <v>2848233.4200000004</v>
      </c>
    </row>
    <row r="640" spans="1:8" x14ac:dyDescent="0.2">
      <c r="A640" s="5" t="s">
        <v>950</v>
      </c>
      <c r="B640" s="4">
        <v>46222</v>
      </c>
      <c r="C640" s="2" t="s">
        <v>10</v>
      </c>
      <c r="D640" s="12">
        <v>0</v>
      </c>
      <c r="E640" s="13">
        <v>27830.080000000002</v>
      </c>
      <c r="F640" s="19" t="str" cm="1">
        <f t="array" ref="F640">IFERROR(LOOKUP(2^15,SEARCH(CategoryMap[Keyword],BankTransactions[[#This Row],[Description]]),CategoryMap[Category]),"Other")</f>
        <v>Fuel &amp; Logistics</v>
      </c>
      <c r="G640" s="6">
        <f>BankTransactions[[#This Row],[Credit (SAR)]]-BankTransactions[[#This Row],[Debit (SAR)]]</f>
        <v>-27830.080000000002</v>
      </c>
      <c r="H640" s="6">
        <f>Opening+SUM(INDEX(BankTransactions[Net (SAR)],1):BankTransactions[[#This Row],[Net (SAR)]])</f>
        <v>2820403.3400000003</v>
      </c>
    </row>
    <row r="641" spans="1:8" x14ac:dyDescent="0.2">
      <c r="A641" s="5" t="s">
        <v>951</v>
      </c>
      <c r="B641" s="4">
        <v>46224</v>
      </c>
      <c r="C641" s="2" t="s">
        <v>952</v>
      </c>
      <c r="D641" s="12">
        <v>1828.86</v>
      </c>
      <c r="E641" s="13">
        <v>0</v>
      </c>
      <c r="F641" s="19" t="str" cm="1">
        <f t="array" ref="F641">IFERROR(LOOKUP(2^15,SEARCH(CategoryMap[Keyword],BankTransactions[[#This Row],[Description]]),CategoryMap[Category]),"Other")</f>
        <v>Customer Receipts</v>
      </c>
      <c r="G641" s="6">
        <f>BankTransactions[[#This Row],[Credit (SAR)]]-BankTransactions[[#This Row],[Debit (SAR)]]</f>
        <v>1828.86</v>
      </c>
      <c r="H641" s="6">
        <f>Opening+SUM(INDEX(BankTransactions[Net (SAR)],1):BankTransactions[[#This Row],[Net (SAR)]])</f>
        <v>2822232.2</v>
      </c>
    </row>
    <row r="642" spans="1:8" x14ac:dyDescent="0.2">
      <c r="A642" s="5" t="s">
        <v>953</v>
      </c>
      <c r="B642" s="4">
        <v>46224</v>
      </c>
      <c r="C642" s="2" t="s">
        <v>954</v>
      </c>
      <c r="D642" s="12">
        <v>28967.61</v>
      </c>
      <c r="E642" s="13">
        <v>0</v>
      </c>
      <c r="F642" s="19" t="str" cm="1">
        <f t="array" ref="F642">IFERROR(LOOKUP(2^15,SEARCH(CategoryMap[Keyword],BankTransactions[[#This Row],[Description]]),CategoryMap[Category]),"Other")</f>
        <v>Customer Receipts</v>
      </c>
      <c r="G642" s="6">
        <f>BankTransactions[[#This Row],[Credit (SAR)]]-BankTransactions[[#This Row],[Debit (SAR)]]</f>
        <v>28967.61</v>
      </c>
      <c r="H642" s="6">
        <f>Opening+SUM(INDEX(BankTransactions[Net (SAR)],1):BankTransactions[[#This Row],[Net (SAR)]])</f>
        <v>2851199.81</v>
      </c>
    </row>
    <row r="643" spans="1:8" x14ac:dyDescent="0.2">
      <c r="A643" s="5" t="s">
        <v>955</v>
      </c>
      <c r="B643" s="4">
        <v>46224</v>
      </c>
      <c r="C643" s="2" t="s">
        <v>7</v>
      </c>
      <c r="D643" s="12">
        <v>0</v>
      </c>
      <c r="E643" s="13">
        <v>38103.78</v>
      </c>
      <c r="F643" s="19" t="str" cm="1">
        <f t="array" ref="F643">IFERROR(LOOKUP(2^15,SEARCH(CategoryMap[Keyword],BankTransactions[[#This Row],[Description]]),CategoryMap[Category]),"Other")</f>
        <v>Supplier Payments</v>
      </c>
      <c r="G643" s="6">
        <f>BankTransactions[[#This Row],[Credit (SAR)]]-BankTransactions[[#This Row],[Debit (SAR)]]</f>
        <v>-38103.78</v>
      </c>
      <c r="H643" s="6">
        <f>Opening+SUM(INDEX(BankTransactions[Net (SAR)],1):BankTransactions[[#This Row],[Net (SAR)]])</f>
        <v>2813096.0300000003</v>
      </c>
    </row>
    <row r="644" spans="1:8" x14ac:dyDescent="0.2">
      <c r="A644" s="5" t="s">
        <v>956</v>
      </c>
      <c r="B644" s="4">
        <v>46225</v>
      </c>
      <c r="C644" s="2" t="s">
        <v>12</v>
      </c>
      <c r="D644" s="12">
        <v>7558.35</v>
      </c>
      <c r="E644" s="13">
        <v>0</v>
      </c>
      <c r="F644" s="19" t="str" cm="1">
        <f t="array" ref="F644">IFERROR(LOOKUP(2^15,SEARCH(CategoryMap[Keyword],BankTransactions[[#This Row],[Description]]),CategoryMap[Category]),"Other")</f>
        <v>Cash Deposits</v>
      </c>
      <c r="G644" s="6">
        <f>BankTransactions[[#This Row],[Credit (SAR)]]-BankTransactions[[#This Row],[Debit (SAR)]]</f>
        <v>7558.35</v>
      </c>
      <c r="H644" s="6">
        <f>Opening+SUM(INDEX(BankTransactions[Net (SAR)],1):BankTransactions[[#This Row],[Net (SAR)]])</f>
        <v>2820654.3800000004</v>
      </c>
    </row>
    <row r="645" spans="1:8" x14ac:dyDescent="0.2">
      <c r="A645" s="5" t="s">
        <v>957</v>
      </c>
      <c r="B645" s="4">
        <v>46226</v>
      </c>
      <c r="C645" s="2" t="s">
        <v>3</v>
      </c>
      <c r="D645" s="12">
        <v>0</v>
      </c>
      <c r="E645" s="13">
        <v>6920.77</v>
      </c>
      <c r="F645" s="19" t="str" cm="1">
        <f t="array" ref="F645">IFERROR(LOOKUP(2^15,SEARCH(CategoryMap[Keyword],BankTransactions[[#This Row],[Description]]),CategoryMap[Category]),"Other")</f>
        <v>Supplier Payments</v>
      </c>
      <c r="G645" s="6">
        <f>BankTransactions[[#This Row],[Credit (SAR)]]-BankTransactions[[#This Row],[Debit (SAR)]]</f>
        <v>-6920.77</v>
      </c>
      <c r="H645" s="6">
        <f>Opening+SUM(INDEX(BankTransactions[Net (SAR)],1):BankTransactions[[#This Row],[Net (SAR)]])</f>
        <v>2813733.6100000003</v>
      </c>
    </row>
    <row r="646" spans="1:8" x14ac:dyDescent="0.2">
      <c r="A646" s="5" t="s">
        <v>958</v>
      </c>
      <c r="B646" s="4">
        <v>46227</v>
      </c>
      <c r="C646" s="2" t="s">
        <v>959</v>
      </c>
      <c r="D646" s="12">
        <v>8141.7</v>
      </c>
      <c r="E646" s="13">
        <v>0</v>
      </c>
      <c r="F646" s="19" t="str" cm="1">
        <f t="array" ref="F646">IFERROR(LOOKUP(2^15,SEARCH(CategoryMap[Keyword],BankTransactions[[#This Row],[Description]]),CategoryMap[Category]),"Other")</f>
        <v>Customer Receipts</v>
      </c>
      <c r="G646" s="6">
        <f>BankTransactions[[#This Row],[Credit (SAR)]]-BankTransactions[[#This Row],[Debit (SAR)]]</f>
        <v>8141.7</v>
      </c>
      <c r="H646" s="6">
        <f>Opening+SUM(INDEX(BankTransactions[Net (SAR)],1):BankTransactions[[#This Row],[Net (SAR)]])</f>
        <v>2821875.31</v>
      </c>
    </row>
    <row r="647" spans="1:8" x14ac:dyDescent="0.2">
      <c r="A647" s="5" t="s">
        <v>960</v>
      </c>
      <c r="B647" s="4">
        <v>46227</v>
      </c>
      <c r="C647" s="2" t="s">
        <v>391</v>
      </c>
      <c r="D647" s="12">
        <v>16432.830000000002</v>
      </c>
      <c r="E647" s="13">
        <v>0</v>
      </c>
      <c r="F647" s="19" t="str" cm="1">
        <f t="array" ref="F647">IFERROR(LOOKUP(2^15,SEARCH(CategoryMap[Keyword],BankTransactions[[#This Row],[Description]]),CategoryMap[Category]),"Other")</f>
        <v>Customer Receipts</v>
      </c>
      <c r="G647" s="6">
        <f>BankTransactions[[#This Row],[Credit (SAR)]]-BankTransactions[[#This Row],[Debit (SAR)]]</f>
        <v>16432.830000000002</v>
      </c>
      <c r="H647" s="6">
        <f>Opening+SUM(INDEX(BankTransactions[Net (SAR)],1):BankTransactions[[#This Row],[Net (SAR)]])</f>
        <v>2838308.14</v>
      </c>
    </row>
    <row r="648" spans="1:8" x14ac:dyDescent="0.2">
      <c r="A648" s="5" t="s">
        <v>961</v>
      </c>
      <c r="B648" s="4">
        <v>46228</v>
      </c>
      <c r="C648" s="2" t="s">
        <v>171</v>
      </c>
      <c r="D648" s="12">
        <v>2381.7399999999998</v>
      </c>
      <c r="E648" s="13">
        <v>0</v>
      </c>
      <c r="F648" s="19" t="str" cm="1">
        <f t="array" ref="F648">IFERROR(LOOKUP(2^15,SEARCH(CategoryMap[Keyword],BankTransactions[[#This Row],[Description]]),CategoryMap[Category]),"Other")</f>
        <v>Customer Receipts</v>
      </c>
      <c r="G648" s="6">
        <f>BankTransactions[[#This Row],[Credit (SAR)]]-BankTransactions[[#This Row],[Debit (SAR)]]</f>
        <v>2381.7399999999998</v>
      </c>
      <c r="H648" s="6">
        <f>Opening+SUM(INDEX(BankTransactions[Net (SAR)],1):BankTransactions[[#This Row],[Net (SAR)]])</f>
        <v>2840689.8800000004</v>
      </c>
    </row>
    <row r="649" spans="1:8" x14ac:dyDescent="0.2">
      <c r="A649" s="5" t="s">
        <v>962</v>
      </c>
      <c r="B649" s="4">
        <v>46228</v>
      </c>
      <c r="C649" s="2" t="s">
        <v>963</v>
      </c>
      <c r="D649" s="12">
        <v>3266.72</v>
      </c>
      <c r="E649" s="13">
        <v>0</v>
      </c>
      <c r="F649" s="19" t="str" cm="1">
        <f t="array" ref="F649">IFERROR(LOOKUP(2^15,SEARCH(CategoryMap[Keyword],BankTransactions[[#This Row],[Description]]),CategoryMap[Category]),"Other")</f>
        <v>Customer Receipts</v>
      </c>
      <c r="G649" s="6">
        <f>BankTransactions[[#This Row],[Credit (SAR)]]-BankTransactions[[#This Row],[Debit (SAR)]]</f>
        <v>3266.72</v>
      </c>
      <c r="H649" s="6">
        <f>Opening+SUM(INDEX(BankTransactions[Net (SAR)],1):BankTransactions[[#This Row],[Net (SAR)]])</f>
        <v>2843956.6</v>
      </c>
    </row>
    <row r="650" spans="1:8" x14ac:dyDescent="0.2">
      <c r="A650" s="5" t="s">
        <v>964</v>
      </c>
      <c r="B650" s="4">
        <v>46228</v>
      </c>
      <c r="C650" s="2" t="s">
        <v>140</v>
      </c>
      <c r="D650" s="12">
        <v>3643.26</v>
      </c>
      <c r="E650" s="13">
        <v>0</v>
      </c>
      <c r="F650" s="19" t="str" cm="1">
        <f t="array" ref="F650">IFERROR(LOOKUP(2^15,SEARCH(CategoryMap[Keyword],BankTransactions[[#This Row],[Description]]),CategoryMap[Category]),"Other")</f>
        <v>Customer Receipts</v>
      </c>
      <c r="G650" s="6">
        <f>BankTransactions[[#This Row],[Credit (SAR)]]-BankTransactions[[#This Row],[Debit (SAR)]]</f>
        <v>3643.26</v>
      </c>
      <c r="H650" s="6">
        <f>Opening+SUM(INDEX(BankTransactions[Net (SAR)],1):BankTransactions[[#This Row],[Net (SAR)]])</f>
        <v>2847599.8600000003</v>
      </c>
    </row>
    <row r="651" spans="1:8" x14ac:dyDescent="0.2">
      <c r="A651" s="5" t="s">
        <v>965</v>
      </c>
      <c r="B651" s="4">
        <v>46228</v>
      </c>
      <c r="C651" s="2" t="s">
        <v>966</v>
      </c>
      <c r="D651" s="12">
        <v>4800.49</v>
      </c>
      <c r="E651" s="13">
        <v>0</v>
      </c>
      <c r="F651" s="19" t="str" cm="1">
        <f t="array" ref="F651">IFERROR(LOOKUP(2^15,SEARCH(CategoryMap[Keyword],BankTransactions[[#This Row],[Description]]),CategoryMap[Category]),"Other")</f>
        <v>Customer Receipts</v>
      </c>
      <c r="G651" s="6">
        <f>BankTransactions[[#This Row],[Credit (SAR)]]-BankTransactions[[#This Row],[Debit (SAR)]]</f>
        <v>4800.49</v>
      </c>
      <c r="H651" s="6">
        <f>Opening+SUM(INDEX(BankTransactions[Net (SAR)],1):BankTransactions[[#This Row],[Net (SAR)]])</f>
        <v>2852400.35</v>
      </c>
    </row>
    <row r="652" spans="1:8" x14ac:dyDescent="0.2">
      <c r="A652" s="5" t="s">
        <v>967</v>
      </c>
      <c r="B652" s="4">
        <v>46228</v>
      </c>
      <c r="C652" s="2" t="s">
        <v>968</v>
      </c>
      <c r="D652" s="12">
        <v>9074.7099999999991</v>
      </c>
      <c r="E652" s="13">
        <v>0</v>
      </c>
      <c r="F652" s="19" t="str" cm="1">
        <f t="array" ref="F652">IFERROR(LOOKUP(2^15,SEARCH(CategoryMap[Keyword],BankTransactions[[#This Row],[Description]]),CategoryMap[Category]),"Other")</f>
        <v>Customer Receipts</v>
      </c>
      <c r="G652" s="6">
        <f>BankTransactions[[#This Row],[Credit (SAR)]]-BankTransactions[[#This Row],[Debit (SAR)]]</f>
        <v>9074.7099999999991</v>
      </c>
      <c r="H652" s="6">
        <f>Opening+SUM(INDEX(BankTransactions[Net (SAR)],1):BankTransactions[[#This Row],[Net (SAR)]])</f>
        <v>2861475.06</v>
      </c>
    </row>
    <row r="653" spans="1:8" x14ac:dyDescent="0.2">
      <c r="A653" s="5" t="s">
        <v>969</v>
      </c>
      <c r="B653" s="4">
        <v>46228</v>
      </c>
      <c r="C653" s="2" t="s">
        <v>22</v>
      </c>
      <c r="D653" s="12">
        <v>0</v>
      </c>
      <c r="E653" s="13">
        <v>64000</v>
      </c>
      <c r="F653" s="19" t="str" cm="1">
        <f t="array" ref="F653">IFERROR(LOOKUP(2^15,SEARCH(CategoryMap[Keyword],BankTransactions[[#This Row],[Description]]),CategoryMap[Category]),"Other")</f>
        <v>Payroll</v>
      </c>
      <c r="G653" s="6">
        <f>BankTransactions[[#This Row],[Credit (SAR)]]-BankTransactions[[#This Row],[Debit (SAR)]]</f>
        <v>-64000</v>
      </c>
      <c r="H653" s="6">
        <f>Opening+SUM(INDEX(BankTransactions[Net (SAR)],1):BankTransactions[[#This Row],[Net (SAR)]])</f>
        <v>2797475.06</v>
      </c>
    </row>
    <row r="654" spans="1:8" x14ac:dyDescent="0.2">
      <c r="A654" s="5" t="s">
        <v>970</v>
      </c>
      <c r="B654" s="4">
        <v>46228</v>
      </c>
      <c r="C654" s="2" t="s">
        <v>24</v>
      </c>
      <c r="D654" s="12">
        <v>0</v>
      </c>
      <c r="E654" s="13">
        <v>21000</v>
      </c>
      <c r="F654" s="19" t="str" cm="1">
        <f t="array" ref="F654">IFERROR(LOOKUP(2^15,SEARCH(CategoryMap[Keyword],BankTransactions[[#This Row],[Description]]),CategoryMap[Category]),"Other")</f>
        <v>Loan Repayments</v>
      </c>
      <c r="G654" s="6">
        <f>BankTransactions[[#This Row],[Credit (SAR)]]-BankTransactions[[#This Row],[Debit (SAR)]]</f>
        <v>-21000</v>
      </c>
      <c r="H654" s="6">
        <f>Opening+SUM(INDEX(BankTransactions[Net (SAR)],1):BankTransactions[[#This Row],[Net (SAR)]])</f>
        <v>2776475.06</v>
      </c>
    </row>
    <row r="655" spans="1:8" x14ac:dyDescent="0.2">
      <c r="A655" s="5" t="s">
        <v>971</v>
      </c>
      <c r="B655" s="4">
        <v>46228</v>
      </c>
      <c r="C655" s="2" t="s">
        <v>10</v>
      </c>
      <c r="D655" s="12">
        <v>0</v>
      </c>
      <c r="E655" s="13">
        <v>30480.95</v>
      </c>
      <c r="F655" s="19" t="str" cm="1">
        <f t="array" ref="F655">IFERROR(LOOKUP(2^15,SEARCH(CategoryMap[Keyword],BankTransactions[[#This Row],[Description]]),CategoryMap[Category]),"Other")</f>
        <v>Fuel &amp; Logistics</v>
      </c>
      <c r="G655" s="6">
        <f>BankTransactions[[#This Row],[Credit (SAR)]]-BankTransactions[[#This Row],[Debit (SAR)]]</f>
        <v>-30480.95</v>
      </c>
      <c r="H655" s="6">
        <f>Opening+SUM(INDEX(BankTransactions[Net (SAR)],1):BankTransactions[[#This Row],[Net (SAR)]])</f>
        <v>2745994.1100000003</v>
      </c>
    </row>
    <row r="656" spans="1:8" x14ac:dyDescent="0.2">
      <c r="A656" s="5" t="s">
        <v>972</v>
      </c>
      <c r="B656" s="4">
        <v>46229</v>
      </c>
      <c r="C656" s="2" t="s">
        <v>973</v>
      </c>
      <c r="D656" s="12">
        <v>3062.81</v>
      </c>
      <c r="E656" s="13">
        <v>0</v>
      </c>
      <c r="F656" s="19" t="str" cm="1">
        <f t="array" ref="F656">IFERROR(LOOKUP(2^15,SEARCH(CategoryMap[Keyword],BankTransactions[[#This Row],[Description]]),CategoryMap[Category]),"Other")</f>
        <v>Customer Receipts</v>
      </c>
      <c r="G656" s="6">
        <f>BankTransactions[[#This Row],[Credit (SAR)]]-BankTransactions[[#This Row],[Debit (SAR)]]</f>
        <v>3062.81</v>
      </c>
      <c r="H656" s="6">
        <f>Opening+SUM(INDEX(BankTransactions[Net (SAR)],1):BankTransactions[[#This Row],[Net (SAR)]])</f>
        <v>2749056.9200000004</v>
      </c>
    </row>
    <row r="657" spans="1:8" x14ac:dyDescent="0.2">
      <c r="A657" s="5" t="s">
        <v>974</v>
      </c>
      <c r="B657" s="4">
        <v>46229</v>
      </c>
      <c r="C657" s="2" t="s">
        <v>975</v>
      </c>
      <c r="D657" s="12">
        <v>14274.69</v>
      </c>
      <c r="E657" s="13">
        <v>0</v>
      </c>
      <c r="F657" s="19" t="str" cm="1">
        <f t="array" ref="F657">IFERROR(LOOKUP(2^15,SEARCH(CategoryMap[Keyword],BankTransactions[[#This Row],[Description]]),CategoryMap[Category]),"Other")</f>
        <v>Customer Receipts</v>
      </c>
      <c r="G657" s="6">
        <f>BankTransactions[[#This Row],[Credit (SAR)]]-BankTransactions[[#This Row],[Debit (SAR)]]</f>
        <v>14274.69</v>
      </c>
      <c r="H657" s="6">
        <f>Opening+SUM(INDEX(BankTransactions[Net (SAR)],1):BankTransactions[[#This Row],[Net (SAR)]])</f>
        <v>2763331.6100000003</v>
      </c>
    </row>
    <row r="658" spans="1:8" x14ac:dyDescent="0.2">
      <c r="A658" s="5" t="s">
        <v>976</v>
      </c>
      <c r="B658" s="4">
        <v>46230</v>
      </c>
      <c r="C658" s="2" t="s">
        <v>391</v>
      </c>
      <c r="D658" s="12">
        <v>14562.1</v>
      </c>
      <c r="E658" s="13">
        <v>0</v>
      </c>
      <c r="F658" s="19" t="str" cm="1">
        <f t="array" ref="F658">IFERROR(LOOKUP(2^15,SEARCH(CategoryMap[Keyword],BankTransactions[[#This Row],[Description]]),CategoryMap[Category]),"Other")</f>
        <v>Customer Receipts</v>
      </c>
      <c r="G658" s="6">
        <f>BankTransactions[[#This Row],[Credit (SAR)]]-BankTransactions[[#This Row],[Debit (SAR)]]</f>
        <v>14562.1</v>
      </c>
      <c r="H658" s="6">
        <f>Opening+SUM(INDEX(BankTransactions[Net (SAR)],1):BankTransactions[[#This Row],[Net (SAR)]])</f>
        <v>2777893.71</v>
      </c>
    </row>
    <row r="659" spans="1:8" x14ac:dyDescent="0.2">
      <c r="A659" s="5" t="s">
        <v>977</v>
      </c>
      <c r="B659" s="4">
        <v>46231</v>
      </c>
      <c r="C659" s="2" t="s">
        <v>7</v>
      </c>
      <c r="D659" s="12">
        <v>0</v>
      </c>
      <c r="E659" s="13">
        <v>35495.620000000003</v>
      </c>
      <c r="F659" s="19" t="str" cm="1">
        <f t="array" ref="F659">IFERROR(LOOKUP(2^15,SEARCH(CategoryMap[Keyword],BankTransactions[[#This Row],[Description]]),CategoryMap[Category]),"Other")</f>
        <v>Supplier Payments</v>
      </c>
      <c r="G659" s="6">
        <f>BankTransactions[[#This Row],[Credit (SAR)]]-BankTransactions[[#This Row],[Debit (SAR)]]</f>
        <v>-35495.620000000003</v>
      </c>
      <c r="H659" s="6">
        <f>Opening+SUM(INDEX(BankTransactions[Net (SAR)],1):BankTransactions[[#This Row],[Net (SAR)]])</f>
        <v>2742398.0900000003</v>
      </c>
    </row>
    <row r="660" spans="1:8" x14ac:dyDescent="0.2">
      <c r="A660" s="5" t="s">
        <v>978</v>
      </c>
      <c r="B660" s="4">
        <v>46231</v>
      </c>
      <c r="C660" s="2" t="s">
        <v>3</v>
      </c>
      <c r="D660" s="12">
        <v>0</v>
      </c>
      <c r="E660" s="13">
        <v>13904.29</v>
      </c>
      <c r="F660" s="19" t="str" cm="1">
        <f t="array" ref="F660">IFERROR(LOOKUP(2^15,SEARCH(CategoryMap[Keyword],BankTransactions[[#This Row],[Description]]),CategoryMap[Category]),"Other")</f>
        <v>Supplier Payments</v>
      </c>
      <c r="G660" s="6">
        <f>BankTransactions[[#This Row],[Credit (SAR)]]-BankTransactions[[#This Row],[Debit (SAR)]]</f>
        <v>-13904.29</v>
      </c>
      <c r="H660" s="6">
        <f>Opening+SUM(INDEX(BankTransactions[Net (SAR)],1):BankTransactions[[#This Row],[Net (SAR)]])</f>
        <v>2728493.8000000003</v>
      </c>
    </row>
    <row r="661" spans="1:8" x14ac:dyDescent="0.2">
      <c r="A661" s="5" t="s">
        <v>979</v>
      </c>
      <c r="B661" s="4">
        <v>46232</v>
      </c>
      <c r="C661" s="2" t="s">
        <v>980</v>
      </c>
      <c r="D661" s="12">
        <v>2017.42</v>
      </c>
      <c r="E661" s="13">
        <v>0</v>
      </c>
      <c r="F661" s="19" t="str" cm="1">
        <f t="array" ref="F661">IFERROR(LOOKUP(2^15,SEARCH(CategoryMap[Keyword],BankTransactions[[#This Row],[Description]]),CategoryMap[Category]),"Other")</f>
        <v>Customer Receipts</v>
      </c>
      <c r="G661" s="6">
        <f>BankTransactions[[#This Row],[Credit (SAR)]]-BankTransactions[[#This Row],[Debit (SAR)]]</f>
        <v>2017.42</v>
      </c>
      <c r="H661" s="6">
        <f>Opening+SUM(INDEX(BankTransactions[Net (SAR)],1):BankTransactions[[#This Row],[Net (SAR)]])</f>
        <v>2730511.22</v>
      </c>
    </row>
    <row r="662" spans="1:8" x14ac:dyDescent="0.2">
      <c r="A662" s="5" t="s">
        <v>981</v>
      </c>
      <c r="B662" s="4">
        <v>46232</v>
      </c>
      <c r="C662" s="2" t="s">
        <v>982</v>
      </c>
      <c r="D662" s="12">
        <v>4488.29</v>
      </c>
      <c r="E662" s="13">
        <v>0</v>
      </c>
      <c r="F662" s="19" t="str" cm="1">
        <f t="array" ref="F662">IFERROR(LOOKUP(2^15,SEARCH(CategoryMap[Keyword],BankTransactions[[#This Row],[Description]]),CategoryMap[Category]),"Other")</f>
        <v>Customer Receipts</v>
      </c>
      <c r="G662" s="6">
        <f>BankTransactions[[#This Row],[Credit (SAR)]]-BankTransactions[[#This Row],[Debit (SAR)]]</f>
        <v>4488.29</v>
      </c>
      <c r="H662" s="6">
        <f>Opening+SUM(INDEX(BankTransactions[Net (SAR)],1):BankTransactions[[#This Row],[Net (SAR)]])</f>
        <v>2734999.5100000002</v>
      </c>
    </row>
    <row r="663" spans="1:8" x14ac:dyDescent="0.2">
      <c r="A663" s="5" t="s">
        <v>983</v>
      </c>
      <c r="B663" s="4">
        <v>46233</v>
      </c>
      <c r="C663" s="2" t="s">
        <v>195</v>
      </c>
      <c r="D663" s="12">
        <v>16759.580000000002</v>
      </c>
      <c r="E663" s="13">
        <v>0</v>
      </c>
      <c r="F663" s="19" t="str" cm="1">
        <f t="array" ref="F663">IFERROR(LOOKUP(2^15,SEARCH(CategoryMap[Keyword],BankTransactions[[#This Row],[Description]]),CategoryMap[Category]),"Other")</f>
        <v>Customer Receipts</v>
      </c>
      <c r="G663" s="6">
        <f>BankTransactions[[#This Row],[Credit (SAR)]]-BankTransactions[[#This Row],[Debit (SAR)]]</f>
        <v>16759.580000000002</v>
      </c>
      <c r="H663" s="6">
        <f>Opening+SUM(INDEX(BankTransactions[Net (SAR)],1):BankTransactions[[#This Row],[Net (SAR)]])</f>
        <v>2751759.0900000003</v>
      </c>
    </row>
    <row r="664" spans="1:8" x14ac:dyDescent="0.2">
      <c r="A664" s="5" t="s">
        <v>984</v>
      </c>
      <c r="B664" s="4">
        <v>46235</v>
      </c>
      <c r="C664" s="2" t="s">
        <v>614</v>
      </c>
      <c r="D664" s="12">
        <v>4322.75</v>
      </c>
      <c r="E664" s="13">
        <v>0</v>
      </c>
      <c r="F664" s="19" t="str" cm="1">
        <f t="array" ref="F664">IFERROR(LOOKUP(2^15,SEARCH(CategoryMap[Keyword],BankTransactions[[#This Row],[Description]]),CategoryMap[Category]),"Other")</f>
        <v>Customer Receipts</v>
      </c>
      <c r="G664" s="6">
        <f>BankTransactions[[#This Row],[Credit (SAR)]]-BankTransactions[[#This Row],[Debit (SAR)]]</f>
        <v>4322.75</v>
      </c>
      <c r="H664" s="6">
        <f>Opening+SUM(INDEX(BankTransactions[Net (SAR)],1):BankTransactions[[#This Row],[Net (SAR)]])</f>
        <v>2756081.8400000003</v>
      </c>
    </row>
    <row r="665" spans="1:8" x14ac:dyDescent="0.2">
      <c r="A665" s="5" t="s">
        <v>985</v>
      </c>
      <c r="B665" s="4">
        <v>46235</v>
      </c>
      <c r="C665" s="2" t="s">
        <v>986</v>
      </c>
      <c r="D665" s="12">
        <v>10188.26</v>
      </c>
      <c r="E665" s="13">
        <v>0</v>
      </c>
      <c r="F665" s="19" t="str" cm="1">
        <f t="array" ref="F665">IFERROR(LOOKUP(2^15,SEARCH(CategoryMap[Keyword],BankTransactions[[#This Row],[Description]]),CategoryMap[Category]),"Other")</f>
        <v>Customer Receipts</v>
      </c>
      <c r="G665" s="6">
        <f>BankTransactions[[#This Row],[Credit (SAR)]]-BankTransactions[[#This Row],[Debit (SAR)]]</f>
        <v>10188.26</v>
      </c>
      <c r="H665" s="6">
        <f>Opening+SUM(INDEX(BankTransactions[Net (SAR)],1):BankTransactions[[#This Row],[Net (SAR)]])</f>
        <v>2766270.1</v>
      </c>
    </row>
    <row r="666" spans="1:8" x14ac:dyDescent="0.2">
      <c r="A666" s="5" t="s">
        <v>987</v>
      </c>
      <c r="B666" s="4">
        <v>46235</v>
      </c>
      <c r="C666" s="2" t="s">
        <v>110</v>
      </c>
      <c r="D666" s="12">
        <v>4533.18</v>
      </c>
      <c r="E666" s="13">
        <v>0</v>
      </c>
      <c r="F666" s="19" t="str" cm="1">
        <f t="array" ref="F666">IFERROR(LOOKUP(2^15,SEARCH(CategoryMap[Keyword],BankTransactions[[#This Row],[Description]]),CategoryMap[Category]),"Other")</f>
        <v>Customer Receipts</v>
      </c>
      <c r="G666" s="6">
        <f>BankTransactions[[#This Row],[Credit (SAR)]]-BankTransactions[[#This Row],[Debit (SAR)]]</f>
        <v>4533.18</v>
      </c>
      <c r="H666" s="6">
        <f>Opening+SUM(INDEX(BankTransactions[Net (SAR)],1):BankTransactions[[#This Row],[Net (SAR)]])</f>
        <v>2770803.2800000003</v>
      </c>
    </row>
    <row r="667" spans="1:8" x14ac:dyDescent="0.2">
      <c r="A667" s="5" t="s">
        <v>988</v>
      </c>
      <c r="B667" s="4">
        <v>46235</v>
      </c>
      <c r="C667" s="2" t="s">
        <v>1</v>
      </c>
      <c r="D667" s="12">
        <v>0</v>
      </c>
      <c r="E667" s="13">
        <v>38000</v>
      </c>
      <c r="F667" s="19" t="str" cm="1">
        <f t="array" ref="F667">IFERROR(LOOKUP(2^15,SEARCH(CategoryMap[Keyword],BankTransactions[[#This Row],[Description]]),CategoryMap[Category]),"Other")</f>
        <v>Rent</v>
      </c>
      <c r="G667" s="6">
        <f>BankTransactions[[#This Row],[Credit (SAR)]]-BankTransactions[[#This Row],[Debit (SAR)]]</f>
        <v>-38000</v>
      </c>
      <c r="H667" s="6">
        <f>Opening+SUM(INDEX(BankTransactions[Net (SAR)],1):BankTransactions[[#This Row],[Net (SAR)]])</f>
        <v>2732803.2800000003</v>
      </c>
    </row>
    <row r="668" spans="1:8" x14ac:dyDescent="0.2">
      <c r="A668" s="5" t="s">
        <v>989</v>
      </c>
      <c r="B668" s="4">
        <v>46236</v>
      </c>
      <c r="C668" s="2" t="s">
        <v>614</v>
      </c>
      <c r="D668" s="12">
        <v>12283.59</v>
      </c>
      <c r="E668" s="13">
        <v>0</v>
      </c>
      <c r="F668" s="19" t="str" cm="1">
        <f t="array" ref="F668">IFERROR(LOOKUP(2^15,SEARCH(CategoryMap[Keyword],BankTransactions[[#This Row],[Description]]),CategoryMap[Category]),"Other")</f>
        <v>Customer Receipts</v>
      </c>
      <c r="G668" s="6">
        <f>BankTransactions[[#This Row],[Credit (SAR)]]-BankTransactions[[#This Row],[Debit (SAR)]]</f>
        <v>12283.59</v>
      </c>
      <c r="H668" s="6">
        <f>Opening+SUM(INDEX(BankTransactions[Net (SAR)],1):BankTransactions[[#This Row],[Net (SAR)]])</f>
        <v>2745086.87</v>
      </c>
    </row>
    <row r="669" spans="1:8" x14ac:dyDescent="0.2">
      <c r="A669" s="5" t="s">
        <v>990</v>
      </c>
      <c r="B669" s="4">
        <v>46236</v>
      </c>
      <c r="C669" s="2" t="s">
        <v>991</v>
      </c>
      <c r="D669" s="12">
        <v>2705.86</v>
      </c>
      <c r="E669" s="13">
        <v>0</v>
      </c>
      <c r="F669" s="19" t="str" cm="1">
        <f t="array" ref="F669">IFERROR(LOOKUP(2^15,SEARCH(CategoryMap[Keyword],BankTransactions[[#This Row],[Description]]),CategoryMap[Category]),"Other")</f>
        <v>Customer Receipts</v>
      </c>
      <c r="G669" s="6">
        <f>BankTransactions[[#This Row],[Credit (SAR)]]-BankTransactions[[#This Row],[Debit (SAR)]]</f>
        <v>2705.86</v>
      </c>
      <c r="H669" s="6">
        <f>Opening+SUM(INDEX(BankTransactions[Net (SAR)],1):BankTransactions[[#This Row],[Net (SAR)]])</f>
        <v>2747792.73</v>
      </c>
    </row>
    <row r="670" spans="1:8" x14ac:dyDescent="0.2">
      <c r="A670" s="5" t="s">
        <v>992</v>
      </c>
      <c r="B670" s="4">
        <v>46236</v>
      </c>
      <c r="C670" s="2" t="s">
        <v>993</v>
      </c>
      <c r="D670" s="12">
        <v>10803.67</v>
      </c>
      <c r="E670" s="13">
        <v>0</v>
      </c>
      <c r="F670" s="19" t="str" cm="1">
        <f t="array" ref="F670">IFERROR(LOOKUP(2^15,SEARCH(CategoryMap[Keyword],BankTransactions[[#This Row],[Description]]),CategoryMap[Category]),"Other")</f>
        <v>Customer Receipts</v>
      </c>
      <c r="G670" s="6">
        <f>BankTransactions[[#This Row],[Credit (SAR)]]-BankTransactions[[#This Row],[Debit (SAR)]]</f>
        <v>10803.67</v>
      </c>
      <c r="H670" s="6">
        <f>Opening+SUM(INDEX(BankTransactions[Net (SAR)],1):BankTransactions[[#This Row],[Net (SAR)]])</f>
        <v>2758596.4000000004</v>
      </c>
    </row>
    <row r="671" spans="1:8" x14ac:dyDescent="0.2">
      <c r="A671" s="5" t="s">
        <v>994</v>
      </c>
      <c r="B671" s="4">
        <v>46236</v>
      </c>
      <c r="C671" s="2" t="s">
        <v>10</v>
      </c>
      <c r="D671" s="12">
        <v>0</v>
      </c>
      <c r="E671" s="13">
        <v>15279.97</v>
      </c>
      <c r="F671" s="19" t="str" cm="1">
        <f t="array" ref="F671">IFERROR(LOOKUP(2^15,SEARCH(CategoryMap[Keyword],BankTransactions[[#This Row],[Description]]),CategoryMap[Category]),"Other")</f>
        <v>Fuel &amp; Logistics</v>
      </c>
      <c r="G671" s="6">
        <f>BankTransactions[[#This Row],[Credit (SAR)]]-BankTransactions[[#This Row],[Debit (SAR)]]</f>
        <v>-15279.97</v>
      </c>
      <c r="H671" s="6">
        <f>Opening+SUM(INDEX(BankTransactions[Net (SAR)],1):BankTransactions[[#This Row],[Net (SAR)]])</f>
        <v>2743316.43</v>
      </c>
    </row>
    <row r="672" spans="1:8" x14ac:dyDescent="0.2">
      <c r="A672" s="5" t="s">
        <v>995</v>
      </c>
      <c r="B672" s="4">
        <v>46237</v>
      </c>
      <c r="C672" s="2" t="s">
        <v>140</v>
      </c>
      <c r="D672" s="12">
        <v>4713.92</v>
      </c>
      <c r="E672" s="13">
        <v>0</v>
      </c>
      <c r="F672" s="19" t="str" cm="1">
        <f t="array" ref="F672">IFERROR(LOOKUP(2^15,SEARCH(CategoryMap[Keyword],BankTransactions[[#This Row],[Description]]),CategoryMap[Category]),"Other")</f>
        <v>Customer Receipts</v>
      </c>
      <c r="G672" s="6">
        <f>BankTransactions[[#This Row],[Credit (SAR)]]-BankTransactions[[#This Row],[Debit (SAR)]]</f>
        <v>4713.92</v>
      </c>
      <c r="H672" s="6">
        <f>Opening+SUM(INDEX(BankTransactions[Net (SAR)],1):BankTransactions[[#This Row],[Net (SAR)]])</f>
        <v>2748030.35</v>
      </c>
    </row>
    <row r="673" spans="1:8" x14ac:dyDescent="0.2">
      <c r="A673" s="5" t="s">
        <v>996</v>
      </c>
      <c r="B673" s="4">
        <v>46237</v>
      </c>
      <c r="C673" s="2" t="s">
        <v>997</v>
      </c>
      <c r="D673" s="12">
        <v>1236.33</v>
      </c>
      <c r="E673" s="13">
        <v>0</v>
      </c>
      <c r="F673" s="19" t="str" cm="1">
        <f t="array" ref="F673">IFERROR(LOOKUP(2^15,SEARCH(CategoryMap[Keyword],BankTransactions[[#This Row],[Description]]),CategoryMap[Category]),"Other")</f>
        <v>Customer Receipts</v>
      </c>
      <c r="G673" s="6">
        <f>BankTransactions[[#This Row],[Credit (SAR)]]-BankTransactions[[#This Row],[Debit (SAR)]]</f>
        <v>1236.33</v>
      </c>
      <c r="H673" s="6">
        <f>Opening+SUM(INDEX(BankTransactions[Net (SAR)],1):BankTransactions[[#This Row],[Net (SAR)]])</f>
        <v>2749266.68</v>
      </c>
    </row>
    <row r="674" spans="1:8" x14ac:dyDescent="0.2">
      <c r="A674" s="5" t="s">
        <v>998</v>
      </c>
      <c r="B674" s="4">
        <v>46238</v>
      </c>
      <c r="C674" s="2" t="s">
        <v>7</v>
      </c>
      <c r="D674" s="12">
        <v>0</v>
      </c>
      <c r="E674" s="13">
        <v>37441.629999999997</v>
      </c>
      <c r="F674" s="19" t="str" cm="1">
        <f t="array" ref="F674">IFERROR(LOOKUP(2^15,SEARCH(CategoryMap[Keyword],BankTransactions[[#This Row],[Description]]),CategoryMap[Category]),"Other")</f>
        <v>Supplier Payments</v>
      </c>
      <c r="G674" s="6">
        <f>BankTransactions[[#This Row],[Credit (SAR)]]-BankTransactions[[#This Row],[Debit (SAR)]]</f>
        <v>-37441.629999999997</v>
      </c>
      <c r="H674" s="6">
        <f>Opening+SUM(INDEX(BankTransactions[Net (SAR)],1):BankTransactions[[#This Row],[Net (SAR)]])</f>
        <v>2711825.0500000003</v>
      </c>
    </row>
    <row r="675" spans="1:8" x14ac:dyDescent="0.2">
      <c r="A675" s="5" t="s">
        <v>999</v>
      </c>
      <c r="B675" s="4">
        <v>46238</v>
      </c>
      <c r="C675" s="2" t="s">
        <v>7</v>
      </c>
      <c r="D675" s="12">
        <v>0</v>
      </c>
      <c r="E675" s="13">
        <v>4852.84</v>
      </c>
      <c r="F675" s="19" t="str" cm="1">
        <f t="array" ref="F675">IFERROR(LOOKUP(2^15,SEARCH(CategoryMap[Keyword],BankTransactions[[#This Row],[Description]]),CategoryMap[Category]),"Other")</f>
        <v>Supplier Payments</v>
      </c>
      <c r="G675" s="6">
        <f>BankTransactions[[#This Row],[Credit (SAR)]]-BankTransactions[[#This Row],[Debit (SAR)]]</f>
        <v>-4852.84</v>
      </c>
      <c r="H675" s="6">
        <f>Opening+SUM(INDEX(BankTransactions[Net (SAR)],1):BankTransactions[[#This Row],[Net (SAR)]])</f>
        <v>2706972.21</v>
      </c>
    </row>
    <row r="676" spans="1:8" x14ac:dyDescent="0.2">
      <c r="A676" s="5" t="s">
        <v>1000</v>
      </c>
      <c r="B676" s="4">
        <v>46239</v>
      </c>
      <c r="C676" s="2" t="s">
        <v>1001</v>
      </c>
      <c r="D676" s="12">
        <v>40705.49</v>
      </c>
      <c r="E676" s="13">
        <v>0</v>
      </c>
      <c r="F676" s="19" t="str" cm="1">
        <f t="array" ref="F676">IFERROR(LOOKUP(2^15,SEARCH(CategoryMap[Keyword],BankTransactions[[#This Row],[Description]]),CategoryMap[Category]),"Other")</f>
        <v>Customer Receipts</v>
      </c>
      <c r="G676" s="6">
        <f>BankTransactions[[#This Row],[Credit (SAR)]]-BankTransactions[[#This Row],[Debit (SAR)]]</f>
        <v>40705.49</v>
      </c>
      <c r="H676" s="6">
        <f>Opening+SUM(INDEX(BankTransactions[Net (SAR)],1):BankTransactions[[#This Row],[Net (SAR)]])</f>
        <v>2747677.7</v>
      </c>
    </row>
    <row r="677" spans="1:8" x14ac:dyDescent="0.2">
      <c r="A677" s="5" t="s">
        <v>1002</v>
      </c>
      <c r="B677" s="4">
        <v>46239</v>
      </c>
      <c r="C677" s="2" t="s">
        <v>1003</v>
      </c>
      <c r="D677" s="12">
        <v>8239.0499999999993</v>
      </c>
      <c r="E677" s="13">
        <v>0</v>
      </c>
      <c r="F677" s="19" t="str" cm="1">
        <f t="array" ref="F677">IFERROR(LOOKUP(2^15,SEARCH(CategoryMap[Keyword],BankTransactions[[#This Row],[Description]]),CategoryMap[Category]),"Other")</f>
        <v>Customer Receipts</v>
      </c>
      <c r="G677" s="6">
        <f>BankTransactions[[#This Row],[Credit (SAR)]]-BankTransactions[[#This Row],[Debit (SAR)]]</f>
        <v>8239.0499999999993</v>
      </c>
      <c r="H677" s="6">
        <f>Opening+SUM(INDEX(BankTransactions[Net (SAR)],1):BankTransactions[[#This Row],[Net (SAR)]])</f>
        <v>2755916.75</v>
      </c>
    </row>
    <row r="678" spans="1:8" x14ac:dyDescent="0.2">
      <c r="A678" s="5" t="s">
        <v>1004</v>
      </c>
      <c r="B678" s="4">
        <v>46240</v>
      </c>
      <c r="C678" s="2" t="s">
        <v>1005</v>
      </c>
      <c r="D678" s="12">
        <v>6345.25</v>
      </c>
      <c r="E678" s="13">
        <v>0</v>
      </c>
      <c r="F678" s="19" t="str" cm="1">
        <f t="array" ref="F678">IFERROR(LOOKUP(2^15,SEARCH(CategoryMap[Keyword],BankTransactions[[#This Row],[Description]]),CategoryMap[Category]),"Other")</f>
        <v>Customer Receipts</v>
      </c>
      <c r="G678" s="6">
        <f>BankTransactions[[#This Row],[Credit (SAR)]]-BankTransactions[[#This Row],[Debit (SAR)]]</f>
        <v>6345.25</v>
      </c>
      <c r="H678" s="6">
        <f>Opening+SUM(INDEX(BankTransactions[Net (SAR)],1):BankTransactions[[#This Row],[Net (SAR)]])</f>
        <v>2762262</v>
      </c>
    </row>
    <row r="679" spans="1:8" x14ac:dyDescent="0.2">
      <c r="A679" s="5" t="s">
        <v>1006</v>
      </c>
      <c r="B679" s="4">
        <v>46240</v>
      </c>
      <c r="C679" s="2" t="s">
        <v>1007</v>
      </c>
      <c r="D679" s="12">
        <v>3364.42</v>
      </c>
      <c r="E679" s="13">
        <v>0</v>
      </c>
      <c r="F679" s="19" t="str" cm="1">
        <f t="array" ref="F679">IFERROR(LOOKUP(2^15,SEARCH(CategoryMap[Keyword],BankTransactions[[#This Row],[Description]]),CategoryMap[Category]),"Other")</f>
        <v>Customer Receipts</v>
      </c>
      <c r="G679" s="6">
        <f>BankTransactions[[#This Row],[Credit (SAR)]]-BankTransactions[[#This Row],[Debit (SAR)]]</f>
        <v>3364.42</v>
      </c>
      <c r="H679" s="6">
        <f>Opening+SUM(INDEX(BankTransactions[Net (SAR)],1):BankTransactions[[#This Row],[Net (SAR)]])</f>
        <v>2765626.42</v>
      </c>
    </row>
    <row r="680" spans="1:8" x14ac:dyDescent="0.2">
      <c r="A680" s="5" t="s">
        <v>1008</v>
      </c>
      <c r="B680" s="4">
        <v>46240</v>
      </c>
      <c r="C680" s="2" t="s">
        <v>1009</v>
      </c>
      <c r="D680" s="12">
        <v>2020.56</v>
      </c>
      <c r="E680" s="13">
        <v>0</v>
      </c>
      <c r="F680" s="19" t="str" cm="1">
        <f t="array" ref="F680">IFERROR(LOOKUP(2^15,SEARCH(CategoryMap[Keyword],BankTransactions[[#This Row],[Description]]),CategoryMap[Category]),"Other")</f>
        <v>Customer Receipts</v>
      </c>
      <c r="G680" s="6">
        <f>BankTransactions[[#This Row],[Credit (SAR)]]-BankTransactions[[#This Row],[Debit (SAR)]]</f>
        <v>2020.56</v>
      </c>
      <c r="H680" s="6">
        <f>Opening+SUM(INDEX(BankTransactions[Net (SAR)],1):BankTransactions[[#This Row],[Net (SAR)]])</f>
        <v>2767646.98</v>
      </c>
    </row>
    <row r="681" spans="1:8" x14ac:dyDescent="0.2">
      <c r="A681" s="5" t="s">
        <v>1010</v>
      </c>
      <c r="B681" s="4">
        <v>46241</v>
      </c>
      <c r="C681" s="2" t="s">
        <v>1011</v>
      </c>
      <c r="D681" s="12">
        <v>4499.3999999999996</v>
      </c>
      <c r="E681" s="13">
        <v>0</v>
      </c>
      <c r="F681" s="19" t="str" cm="1">
        <f t="array" ref="F681">IFERROR(LOOKUP(2^15,SEARCH(CategoryMap[Keyword],BankTransactions[[#This Row],[Description]]),CategoryMap[Category]),"Other")</f>
        <v>Customer Receipts</v>
      </c>
      <c r="G681" s="6">
        <f>BankTransactions[[#This Row],[Credit (SAR)]]-BankTransactions[[#This Row],[Debit (SAR)]]</f>
        <v>4499.3999999999996</v>
      </c>
      <c r="H681" s="6">
        <f>Opening+SUM(INDEX(BankTransactions[Net (SAR)],1):BankTransactions[[#This Row],[Net (SAR)]])</f>
        <v>2772146.3800000004</v>
      </c>
    </row>
    <row r="682" spans="1:8" x14ac:dyDescent="0.2">
      <c r="A682" s="5" t="s">
        <v>1012</v>
      </c>
      <c r="B682" s="4">
        <v>46241</v>
      </c>
      <c r="C682" s="2" t="s">
        <v>611</v>
      </c>
      <c r="D682" s="12">
        <v>2599.33</v>
      </c>
      <c r="E682" s="13">
        <v>0</v>
      </c>
      <c r="F682" s="19" t="str" cm="1">
        <f t="array" ref="F682">IFERROR(LOOKUP(2^15,SEARCH(CategoryMap[Keyword],BankTransactions[[#This Row],[Description]]),CategoryMap[Category]),"Other")</f>
        <v>Customer Receipts</v>
      </c>
      <c r="G682" s="6">
        <f>BankTransactions[[#This Row],[Credit (SAR)]]-BankTransactions[[#This Row],[Debit (SAR)]]</f>
        <v>2599.33</v>
      </c>
      <c r="H682" s="6">
        <f>Opening+SUM(INDEX(BankTransactions[Net (SAR)],1):BankTransactions[[#This Row],[Net (SAR)]])</f>
        <v>2774745.71</v>
      </c>
    </row>
    <row r="683" spans="1:8" x14ac:dyDescent="0.2">
      <c r="A683" s="5" t="s">
        <v>1013</v>
      </c>
      <c r="B683" s="4">
        <v>46241</v>
      </c>
      <c r="C683" s="2" t="s">
        <v>3</v>
      </c>
      <c r="D683" s="12">
        <v>0</v>
      </c>
      <c r="E683" s="13">
        <v>29018.9</v>
      </c>
      <c r="F683" s="19" t="str" cm="1">
        <f t="array" ref="F683">IFERROR(LOOKUP(2^15,SEARCH(CategoryMap[Keyword],BankTransactions[[#This Row],[Description]]),CategoryMap[Category]),"Other")</f>
        <v>Supplier Payments</v>
      </c>
      <c r="G683" s="6">
        <f>BankTransactions[[#This Row],[Credit (SAR)]]-BankTransactions[[#This Row],[Debit (SAR)]]</f>
        <v>-29018.9</v>
      </c>
      <c r="H683" s="6">
        <f>Opening+SUM(INDEX(BankTransactions[Net (SAR)],1):BankTransactions[[#This Row],[Net (SAR)]])</f>
        <v>2745726.81</v>
      </c>
    </row>
    <row r="684" spans="1:8" x14ac:dyDescent="0.2">
      <c r="A684" s="5" t="s">
        <v>1014</v>
      </c>
      <c r="B684" s="4">
        <v>46242</v>
      </c>
      <c r="C684" s="2" t="s">
        <v>1015</v>
      </c>
      <c r="D684" s="12">
        <v>5586.01</v>
      </c>
      <c r="E684" s="13">
        <v>0</v>
      </c>
      <c r="F684" s="19" t="str" cm="1">
        <f t="array" ref="F684">IFERROR(LOOKUP(2^15,SEARCH(CategoryMap[Keyword],BankTransactions[[#This Row],[Description]]),CategoryMap[Category]),"Other")</f>
        <v>Customer Receipts</v>
      </c>
      <c r="G684" s="6">
        <f>BankTransactions[[#This Row],[Credit (SAR)]]-BankTransactions[[#This Row],[Debit (SAR)]]</f>
        <v>5586.01</v>
      </c>
      <c r="H684" s="6">
        <f>Opening+SUM(INDEX(BankTransactions[Net (SAR)],1):BankTransactions[[#This Row],[Net (SAR)]])</f>
        <v>2751312.8200000003</v>
      </c>
    </row>
    <row r="685" spans="1:8" x14ac:dyDescent="0.2">
      <c r="A685" s="5" t="s">
        <v>1016</v>
      </c>
      <c r="B685" s="4">
        <v>46242</v>
      </c>
      <c r="C685" s="2" t="s">
        <v>1017</v>
      </c>
      <c r="D685" s="12">
        <v>12179.93</v>
      </c>
      <c r="E685" s="13">
        <v>0</v>
      </c>
      <c r="F685" s="19" t="str" cm="1">
        <f t="array" ref="F685">IFERROR(LOOKUP(2^15,SEARCH(CategoryMap[Keyword],BankTransactions[[#This Row],[Description]]),CategoryMap[Category]),"Other")</f>
        <v>Customer Receipts</v>
      </c>
      <c r="G685" s="6">
        <f>BankTransactions[[#This Row],[Credit (SAR)]]-BankTransactions[[#This Row],[Debit (SAR)]]</f>
        <v>12179.93</v>
      </c>
      <c r="H685" s="6">
        <f>Opening+SUM(INDEX(BankTransactions[Net (SAR)],1):BankTransactions[[#This Row],[Net (SAR)]])</f>
        <v>2763492.75</v>
      </c>
    </row>
    <row r="686" spans="1:8" x14ac:dyDescent="0.2">
      <c r="A686" s="5" t="s">
        <v>1018</v>
      </c>
      <c r="B686" s="4">
        <v>46242</v>
      </c>
      <c r="C686" s="2" t="s">
        <v>10</v>
      </c>
      <c r="D686" s="12">
        <v>0</v>
      </c>
      <c r="E686" s="13">
        <v>0</v>
      </c>
      <c r="F686" s="19" t="str" cm="1">
        <f t="array" ref="F686">IFERROR(LOOKUP(2^15,SEARCH(CategoryMap[Keyword],BankTransactions[[#This Row],[Description]]),CategoryMap[Category]),"Other")</f>
        <v>Fuel &amp; Logistics</v>
      </c>
      <c r="G686" s="6">
        <f>BankTransactions[[#This Row],[Credit (SAR)]]-BankTransactions[[#This Row],[Debit (SAR)]]</f>
        <v>0</v>
      </c>
      <c r="H686" s="6">
        <f>Opening+SUM(INDEX(BankTransactions[Net (SAR)],1):BankTransactions[[#This Row],[Net (SAR)]])</f>
        <v>2763492.75</v>
      </c>
    </row>
    <row r="687" spans="1:8" x14ac:dyDescent="0.2">
      <c r="A687" s="5" t="s">
        <v>1019</v>
      </c>
      <c r="B687" s="4">
        <v>46243</v>
      </c>
      <c r="C687" s="2" t="s">
        <v>1020</v>
      </c>
      <c r="D687" s="12">
        <v>3782.15</v>
      </c>
      <c r="E687" s="13">
        <v>0</v>
      </c>
      <c r="F687" s="19" t="str" cm="1">
        <f t="array" ref="F687">IFERROR(LOOKUP(2^15,SEARCH(CategoryMap[Keyword],BankTransactions[[#This Row],[Description]]),CategoryMap[Category]),"Other")</f>
        <v>Customer Receipts</v>
      </c>
      <c r="G687" s="6">
        <f>BankTransactions[[#This Row],[Credit (SAR)]]-BankTransactions[[#This Row],[Debit (SAR)]]</f>
        <v>3782.15</v>
      </c>
      <c r="H687" s="6">
        <f>Opening+SUM(INDEX(BankTransactions[Net (SAR)],1):BankTransactions[[#This Row],[Net (SAR)]])</f>
        <v>2767274.9000000004</v>
      </c>
    </row>
    <row r="688" spans="1:8" x14ac:dyDescent="0.2">
      <c r="A688" s="5" t="s">
        <v>1021</v>
      </c>
      <c r="B688" s="4">
        <v>46243</v>
      </c>
      <c r="C688" s="2" t="s">
        <v>1022</v>
      </c>
      <c r="D688" s="12">
        <v>16941.73</v>
      </c>
      <c r="E688" s="13">
        <v>0</v>
      </c>
      <c r="F688" s="19" t="str" cm="1">
        <f t="array" ref="F688">IFERROR(LOOKUP(2^15,SEARCH(CategoryMap[Keyword],BankTransactions[[#This Row],[Description]]),CategoryMap[Category]),"Other")</f>
        <v>Customer Receipts</v>
      </c>
      <c r="G688" s="6">
        <f>BankTransactions[[#This Row],[Credit (SAR)]]-BankTransactions[[#This Row],[Debit (SAR)]]</f>
        <v>16941.73</v>
      </c>
      <c r="H688" s="6">
        <f>Opening+SUM(INDEX(BankTransactions[Net (SAR)],1):BankTransactions[[#This Row],[Net (SAR)]])</f>
        <v>2784216.6300000004</v>
      </c>
    </row>
    <row r="689" spans="1:8" x14ac:dyDescent="0.2">
      <c r="A689" s="5" t="s">
        <v>1023</v>
      </c>
      <c r="B689" s="4">
        <v>46243</v>
      </c>
      <c r="C689" s="2" t="s">
        <v>112</v>
      </c>
      <c r="D689" s="12">
        <v>15501.09</v>
      </c>
      <c r="E689" s="13">
        <v>0</v>
      </c>
      <c r="F689" s="19" t="str" cm="1">
        <f t="array" ref="F689">IFERROR(LOOKUP(2^15,SEARCH(CategoryMap[Keyword],BankTransactions[[#This Row],[Description]]),CategoryMap[Category]),"Other")</f>
        <v>Customer Receipts</v>
      </c>
      <c r="G689" s="6">
        <f>BankTransactions[[#This Row],[Credit (SAR)]]-BankTransactions[[#This Row],[Debit (SAR)]]</f>
        <v>15501.09</v>
      </c>
      <c r="H689" s="6">
        <f>Opening+SUM(INDEX(BankTransactions[Net (SAR)],1):BankTransactions[[#This Row],[Net (SAR)]])</f>
        <v>2799717.72</v>
      </c>
    </row>
    <row r="690" spans="1:8" x14ac:dyDescent="0.2">
      <c r="A690" s="5" t="s">
        <v>1024</v>
      </c>
      <c r="B690" s="4">
        <v>46243</v>
      </c>
      <c r="C690" s="2" t="s">
        <v>1025</v>
      </c>
      <c r="D690" s="12">
        <v>19440.560000000001</v>
      </c>
      <c r="E690" s="13">
        <v>0</v>
      </c>
      <c r="F690" s="19" t="str" cm="1">
        <f t="array" ref="F690">IFERROR(LOOKUP(2^15,SEARCH(CategoryMap[Keyword],BankTransactions[[#This Row],[Description]]),CategoryMap[Category]),"Other")</f>
        <v>Customer Receipts</v>
      </c>
      <c r="G690" s="6">
        <f>BankTransactions[[#This Row],[Credit (SAR)]]-BankTransactions[[#This Row],[Debit (SAR)]]</f>
        <v>19440.560000000001</v>
      </c>
      <c r="H690" s="6">
        <f>Opening+SUM(INDEX(BankTransactions[Net (SAR)],1):BankTransactions[[#This Row],[Net (SAR)]])</f>
        <v>2819158.2800000003</v>
      </c>
    </row>
    <row r="691" spans="1:8" x14ac:dyDescent="0.2">
      <c r="A691" s="5" t="s">
        <v>1026</v>
      </c>
      <c r="B691" s="4">
        <v>46243</v>
      </c>
      <c r="C691" s="2" t="s">
        <v>391</v>
      </c>
      <c r="D691" s="12">
        <v>20618.349999999999</v>
      </c>
      <c r="E691" s="13">
        <v>0</v>
      </c>
      <c r="F691" s="19" t="str" cm="1">
        <f t="array" ref="F691">IFERROR(LOOKUP(2^15,SEARCH(CategoryMap[Keyword],BankTransactions[[#This Row],[Description]]),CategoryMap[Category]),"Other")</f>
        <v>Customer Receipts</v>
      </c>
      <c r="G691" s="6">
        <f>BankTransactions[[#This Row],[Credit (SAR)]]-BankTransactions[[#This Row],[Debit (SAR)]]</f>
        <v>20618.349999999999</v>
      </c>
      <c r="H691" s="6">
        <f>Opening+SUM(INDEX(BankTransactions[Net (SAR)],1):BankTransactions[[#This Row],[Net (SAR)]])</f>
        <v>2839776.6300000004</v>
      </c>
    </row>
    <row r="692" spans="1:8" x14ac:dyDescent="0.2">
      <c r="A692" s="5" t="s">
        <v>1027</v>
      </c>
      <c r="B692" s="4">
        <v>46243</v>
      </c>
      <c r="C692" s="2" t="s">
        <v>186</v>
      </c>
      <c r="D692" s="12">
        <v>21902.21</v>
      </c>
      <c r="E692" s="13">
        <v>0</v>
      </c>
      <c r="F692" s="19" t="str" cm="1">
        <f t="array" ref="F692">IFERROR(LOOKUP(2^15,SEARCH(CategoryMap[Keyword],BankTransactions[[#This Row],[Description]]),CategoryMap[Category]),"Other")</f>
        <v>Customer Receipts</v>
      </c>
      <c r="G692" s="6">
        <f>BankTransactions[[#This Row],[Credit (SAR)]]-BankTransactions[[#This Row],[Debit (SAR)]]</f>
        <v>21902.21</v>
      </c>
      <c r="H692" s="6">
        <f>Opening+SUM(INDEX(BankTransactions[Net (SAR)],1):BankTransactions[[#This Row],[Net (SAR)]])</f>
        <v>2861678.8400000003</v>
      </c>
    </row>
    <row r="693" spans="1:8" x14ac:dyDescent="0.2">
      <c r="A693" s="5" t="s">
        <v>1028</v>
      </c>
      <c r="B693" s="4">
        <v>46243</v>
      </c>
      <c r="C693" s="2" t="s">
        <v>3</v>
      </c>
      <c r="D693" s="12">
        <v>0</v>
      </c>
      <c r="E693" s="13">
        <v>10518</v>
      </c>
      <c r="F693" s="19" t="str" cm="1">
        <f t="array" ref="F693">IFERROR(LOOKUP(2^15,SEARCH(CategoryMap[Keyword],BankTransactions[[#This Row],[Description]]),CategoryMap[Category]),"Other")</f>
        <v>Supplier Payments</v>
      </c>
      <c r="G693" s="6">
        <f>BankTransactions[[#This Row],[Credit (SAR)]]-BankTransactions[[#This Row],[Debit (SAR)]]</f>
        <v>-10518</v>
      </c>
      <c r="H693" s="6">
        <f>Opening+SUM(INDEX(BankTransactions[Net (SAR)],1):BankTransactions[[#This Row],[Net (SAR)]])</f>
        <v>2851160.8400000003</v>
      </c>
    </row>
    <row r="694" spans="1:8" x14ac:dyDescent="0.2">
      <c r="A694" s="5" t="s">
        <v>1029</v>
      </c>
      <c r="B694" s="4">
        <v>46245</v>
      </c>
      <c r="C694" s="2" t="s">
        <v>1030</v>
      </c>
      <c r="D694" s="12">
        <v>9882.82</v>
      </c>
      <c r="E694" s="13">
        <v>0</v>
      </c>
      <c r="F694" s="19" t="str" cm="1">
        <f t="array" ref="F694">IFERROR(LOOKUP(2^15,SEARCH(CategoryMap[Keyword],BankTransactions[[#This Row],[Description]]),CategoryMap[Category]),"Other")</f>
        <v>Customer Receipts</v>
      </c>
      <c r="G694" s="6">
        <f>BankTransactions[[#This Row],[Credit (SAR)]]-BankTransactions[[#This Row],[Debit (SAR)]]</f>
        <v>9882.82</v>
      </c>
      <c r="H694" s="6">
        <f>Opening+SUM(INDEX(BankTransactions[Net (SAR)],1):BankTransactions[[#This Row],[Net (SAR)]])</f>
        <v>2861043.66</v>
      </c>
    </row>
    <row r="695" spans="1:8" x14ac:dyDescent="0.2">
      <c r="A695" s="5" t="s">
        <v>1031</v>
      </c>
      <c r="B695" s="4">
        <v>46246</v>
      </c>
      <c r="C695" s="2" t="s">
        <v>1032</v>
      </c>
      <c r="D695" s="12">
        <v>12409.44</v>
      </c>
      <c r="E695" s="13">
        <v>0</v>
      </c>
      <c r="F695" s="19" t="str" cm="1">
        <f t="array" ref="F695">IFERROR(LOOKUP(2^15,SEARCH(CategoryMap[Keyword],BankTransactions[[#This Row],[Description]]),CategoryMap[Category]),"Other")</f>
        <v>Customer Receipts</v>
      </c>
      <c r="G695" s="6">
        <f>BankTransactions[[#This Row],[Credit (SAR)]]-BankTransactions[[#This Row],[Debit (SAR)]]</f>
        <v>12409.44</v>
      </c>
      <c r="H695" s="6">
        <f>Opening+SUM(INDEX(BankTransactions[Net (SAR)],1):BankTransactions[[#This Row],[Net (SAR)]])</f>
        <v>2873453.1</v>
      </c>
    </row>
    <row r="696" spans="1:8" x14ac:dyDescent="0.2">
      <c r="A696" s="5" t="s">
        <v>1033</v>
      </c>
      <c r="B696" s="4">
        <v>46246</v>
      </c>
      <c r="C696" s="2" t="s">
        <v>1034</v>
      </c>
      <c r="D696" s="12">
        <v>2957.43</v>
      </c>
      <c r="E696" s="13">
        <v>0</v>
      </c>
      <c r="F696" s="19" t="str" cm="1">
        <f t="array" ref="F696">IFERROR(LOOKUP(2^15,SEARCH(CategoryMap[Keyword],BankTransactions[[#This Row],[Description]]),CategoryMap[Category]),"Other")</f>
        <v>Customer Receipts</v>
      </c>
      <c r="G696" s="6">
        <f>BankTransactions[[#This Row],[Credit (SAR)]]-BankTransactions[[#This Row],[Debit (SAR)]]</f>
        <v>2957.43</v>
      </c>
      <c r="H696" s="6">
        <f>Opening+SUM(INDEX(BankTransactions[Net (SAR)],1):BankTransactions[[#This Row],[Net (SAR)]])</f>
        <v>2876410.5300000003</v>
      </c>
    </row>
    <row r="697" spans="1:8" x14ac:dyDescent="0.2">
      <c r="A697" s="5" t="s">
        <v>1035</v>
      </c>
      <c r="B697" s="4">
        <v>46247</v>
      </c>
      <c r="C697" s="2" t="s">
        <v>1036</v>
      </c>
      <c r="D697" s="12">
        <v>34072.589999999997</v>
      </c>
      <c r="E697" s="13">
        <v>0</v>
      </c>
      <c r="F697" s="19" t="str" cm="1">
        <f t="array" ref="F697">IFERROR(LOOKUP(2^15,SEARCH(CategoryMap[Keyword],BankTransactions[[#This Row],[Description]]),CategoryMap[Category]),"Other")</f>
        <v>Customer Receipts</v>
      </c>
      <c r="G697" s="6">
        <f>BankTransactions[[#This Row],[Credit (SAR)]]-BankTransactions[[#This Row],[Debit (SAR)]]</f>
        <v>34072.589999999997</v>
      </c>
      <c r="H697" s="6">
        <f>Opening+SUM(INDEX(BankTransactions[Net (SAR)],1):BankTransactions[[#This Row],[Net (SAR)]])</f>
        <v>2910483.12</v>
      </c>
    </row>
    <row r="698" spans="1:8" x14ac:dyDescent="0.2">
      <c r="A698" s="5" t="s">
        <v>1037</v>
      </c>
      <c r="B698" s="4">
        <v>46247</v>
      </c>
      <c r="C698" s="2" t="s">
        <v>1038</v>
      </c>
      <c r="D698" s="12">
        <v>7665.76</v>
      </c>
      <c r="E698" s="13">
        <v>0</v>
      </c>
      <c r="F698" s="19" t="str" cm="1">
        <f t="array" ref="F698">IFERROR(LOOKUP(2^15,SEARCH(CategoryMap[Keyword],BankTransactions[[#This Row],[Description]]),CategoryMap[Category]),"Other")</f>
        <v>Customer Receipts</v>
      </c>
      <c r="G698" s="6">
        <f>BankTransactions[[#This Row],[Credit (SAR)]]-BankTransactions[[#This Row],[Debit (SAR)]]</f>
        <v>7665.76</v>
      </c>
      <c r="H698" s="6">
        <f>Opening+SUM(INDEX(BankTransactions[Net (SAR)],1):BankTransactions[[#This Row],[Net (SAR)]])</f>
        <v>2918148.8800000004</v>
      </c>
    </row>
    <row r="699" spans="1:8" x14ac:dyDescent="0.2">
      <c r="A699" s="5" t="s">
        <v>1039</v>
      </c>
      <c r="B699" s="4">
        <v>46247</v>
      </c>
      <c r="C699" s="2" t="s">
        <v>3</v>
      </c>
      <c r="D699" s="12">
        <v>0</v>
      </c>
      <c r="E699" s="13">
        <v>56588.99</v>
      </c>
      <c r="F699" s="19" t="str" cm="1">
        <f t="array" ref="F699">IFERROR(LOOKUP(2^15,SEARCH(CategoryMap[Keyword],BankTransactions[[#This Row],[Description]]),CategoryMap[Category]),"Other")</f>
        <v>Supplier Payments</v>
      </c>
      <c r="G699" s="6">
        <f>BankTransactions[[#This Row],[Credit (SAR)]]-BankTransactions[[#This Row],[Debit (SAR)]]</f>
        <v>-56588.99</v>
      </c>
      <c r="H699" s="6">
        <f>Opening+SUM(INDEX(BankTransactions[Net (SAR)],1):BankTransactions[[#This Row],[Net (SAR)]])</f>
        <v>2861559.89</v>
      </c>
    </row>
    <row r="700" spans="1:8" x14ac:dyDescent="0.2">
      <c r="A700" s="5" t="s">
        <v>1040</v>
      </c>
      <c r="B700" s="4">
        <v>46247</v>
      </c>
      <c r="C700" s="2" t="s">
        <v>10</v>
      </c>
      <c r="D700" s="12">
        <v>0</v>
      </c>
      <c r="E700" s="13">
        <v>38237.83</v>
      </c>
      <c r="F700" s="19" t="str" cm="1">
        <f t="array" ref="F700">IFERROR(LOOKUP(2^15,SEARCH(CategoryMap[Keyword],BankTransactions[[#This Row],[Description]]),CategoryMap[Category]),"Other")</f>
        <v>Fuel &amp; Logistics</v>
      </c>
      <c r="G700" s="6">
        <f>BankTransactions[[#This Row],[Credit (SAR)]]-BankTransactions[[#This Row],[Debit (SAR)]]</f>
        <v>-38237.83</v>
      </c>
      <c r="H700" s="6">
        <f>Opening+SUM(INDEX(BankTransactions[Net (SAR)],1):BankTransactions[[#This Row],[Net (SAR)]])</f>
        <v>2823322.06</v>
      </c>
    </row>
    <row r="701" spans="1:8" x14ac:dyDescent="0.2">
      <c r="A701" s="5" t="s">
        <v>1041</v>
      </c>
      <c r="B701" s="4">
        <v>46248</v>
      </c>
      <c r="C701" s="2" t="s">
        <v>12</v>
      </c>
      <c r="D701" s="12">
        <v>24800.09</v>
      </c>
      <c r="E701" s="13">
        <v>0</v>
      </c>
      <c r="F701" s="19" t="str" cm="1">
        <f t="array" ref="F701">IFERROR(LOOKUP(2^15,SEARCH(CategoryMap[Keyword],BankTransactions[[#This Row],[Description]]),CategoryMap[Category]),"Other")</f>
        <v>Cash Deposits</v>
      </c>
      <c r="G701" s="6">
        <f>BankTransactions[[#This Row],[Credit (SAR)]]-BankTransactions[[#This Row],[Debit (SAR)]]</f>
        <v>24800.09</v>
      </c>
      <c r="H701" s="6">
        <f>Opening+SUM(INDEX(BankTransactions[Net (SAR)],1):BankTransactions[[#This Row],[Net (SAR)]])</f>
        <v>2848122.1500000004</v>
      </c>
    </row>
    <row r="702" spans="1:8" x14ac:dyDescent="0.2">
      <c r="A702" s="5" t="s">
        <v>1042</v>
      </c>
      <c r="B702" s="4">
        <v>46249</v>
      </c>
      <c r="C702" s="2" t="s">
        <v>1043</v>
      </c>
      <c r="D702" s="12">
        <v>2817.56</v>
      </c>
      <c r="E702" s="13">
        <v>0</v>
      </c>
      <c r="F702" s="19" t="str" cm="1">
        <f t="array" ref="F702">IFERROR(LOOKUP(2^15,SEARCH(CategoryMap[Keyword],BankTransactions[[#This Row],[Description]]),CategoryMap[Category]),"Other")</f>
        <v>Customer Receipts</v>
      </c>
      <c r="G702" s="6">
        <f>BankTransactions[[#This Row],[Credit (SAR)]]-BankTransactions[[#This Row],[Debit (SAR)]]</f>
        <v>2817.56</v>
      </c>
      <c r="H702" s="6">
        <f>Opening+SUM(INDEX(BankTransactions[Net (SAR)],1):BankTransactions[[#This Row],[Net (SAR)]])</f>
        <v>2850939.7100000004</v>
      </c>
    </row>
    <row r="703" spans="1:8" x14ac:dyDescent="0.2">
      <c r="A703" s="5" t="s">
        <v>1044</v>
      </c>
      <c r="B703" s="4">
        <v>46251</v>
      </c>
      <c r="C703" s="2" t="s">
        <v>1045</v>
      </c>
      <c r="D703" s="12">
        <v>3004.87</v>
      </c>
      <c r="E703" s="13">
        <v>0</v>
      </c>
      <c r="F703" s="19" t="str" cm="1">
        <f t="array" ref="F703">IFERROR(LOOKUP(2^15,SEARCH(CategoryMap[Keyword],BankTransactions[[#This Row],[Description]]),CategoryMap[Category]),"Other")</f>
        <v>Customer Receipts</v>
      </c>
      <c r="G703" s="6">
        <f>BankTransactions[[#This Row],[Credit (SAR)]]-BankTransactions[[#This Row],[Debit (SAR)]]</f>
        <v>3004.87</v>
      </c>
      <c r="H703" s="6">
        <f>Opening+SUM(INDEX(BankTransactions[Net (SAR)],1):BankTransactions[[#This Row],[Net (SAR)]])</f>
        <v>2853944.58</v>
      </c>
    </row>
    <row r="704" spans="1:8" x14ac:dyDescent="0.2">
      <c r="A704" s="5" t="s">
        <v>1046</v>
      </c>
      <c r="B704" s="4">
        <v>46251</v>
      </c>
      <c r="C704" s="2" t="s">
        <v>12</v>
      </c>
      <c r="D704" s="12">
        <v>88311.77</v>
      </c>
      <c r="E704" s="13">
        <v>0</v>
      </c>
      <c r="F704" s="19" t="str" cm="1">
        <f t="array" ref="F704">IFERROR(LOOKUP(2^15,SEARCH(CategoryMap[Keyword],BankTransactions[[#This Row],[Description]]),CategoryMap[Category]),"Other")</f>
        <v>Cash Deposits</v>
      </c>
      <c r="G704" s="6">
        <f>BankTransactions[[#This Row],[Credit (SAR)]]-BankTransactions[[#This Row],[Debit (SAR)]]</f>
        <v>88311.77</v>
      </c>
      <c r="H704" s="6">
        <f>Opening+SUM(INDEX(BankTransactions[Net (SAR)],1):BankTransactions[[#This Row],[Net (SAR)]])</f>
        <v>2942256.35</v>
      </c>
    </row>
    <row r="705" spans="1:8" x14ac:dyDescent="0.2">
      <c r="A705" s="5" t="s">
        <v>1047</v>
      </c>
      <c r="B705" s="4">
        <v>46251</v>
      </c>
      <c r="C705" s="2" t="s">
        <v>7</v>
      </c>
      <c r="D705" s="12">
        <v>0</v>
      </c>
      <c r="E705" s="13">
        <v>25069.919999999998</v>
      </c>
      <c r="F705" s="19" t="str" cm="1">
        <f t="array" ref="F705">IFERROR(LOOKUP(2^15,SEARCH(CategoryMap[Keyword],BankTransactions[[#This Row],[Description]]),CategoryMap[Category]),"Other")</f>
        <v>Supplier Payments</v>
      </c>
      <c r="G705" s="6">
        <f>BankTransactions[[#This Row],[Credit (SAR)]]-BankTransactions[[#This Row],[Debit (SAR)]]</f>
        <v>-25069.919999999998</v>
      </c>
      <c r="H705" s="6">
        <f>Opening+SUM(INDEX(BankTransactions[Net (SAR)],1):BankTransactions[[#This Row],[Net (SAR)]])</f>
        <v>2917186.43</v>
      </c>
    </row>
    <row r="706" spans="1:8" x14ac:dyDescent="0.2">
      <c r="A706" s="5" t="s">
        <v>1048</v>
      </c>
      <c r="B706" s="4">
        <v>46251</v>
      </c>
      <c r="C706" s="2" t="s">
        <v>7</v>
      </c>
      <c r="D706" s="12">
        <v>0</v>
      </c>
      <c r="E706" s="13">
        <v>63358.97</v>
      </c>
      <c r="F706" s="19" t="str" cm="1">
        <f t="array" ref="F706">IFERROR(LOOKUP(2^15,SEARCH(CategoryMap[Keyword],BankTransactions[[#This Row],[Description]]),CategoryMap[Category]),"Other")</f>
        <v>Supplier Payments</v>
      </c>
      <c r="G706" s="6">
        <f>BankTransactions[[#This Row],[Credit (SAR)]]-BankTransactions[[#This Row],[Debit (SAR)]]</f>
        <v>-63358.97</v>
      </c>
      <c r="H706" s="6">
        <f>Opening+SUM(INDEX(BankTransactions[Net (SAR)],1):BankTransactions[[#This Row],[Net (SAR)]])</f>
        <v>2853827.4600000004</v>
      </c>
    </row>
    <row r="707" spans="1:8" x14ac:dyDescent="0.2">
      <c r="A707" s="5" t="s">
        <v>1049</v>
      </c>
      <c r="B707" s="4">
        <v>46252</v>
      </c>
      <c r="C707" s="2" t="s">
        <v>12</v>
      </c>
      <c r="D707" s="12">
        <v>17266.28</v>
      </c>
      <c r="E707" s="13">
        <v>0</v>
      </c>
      <c r="F707" s="19" t="str" cm="1">
        <f t="array" ref="F707">IFERROR(LOOKUP(2^15,SEARCH(CategoryMap[Keyword],BankTransactions[[#This Row],[Description]]),CategoryMap[Category]),"Other")</f>
        <v>Cash Deposits</v>
      </c>
      <c r="G707" s="6">
        <f>BankTransactions[[#This Row],[Credit (SAR)]]-BankTransactions[[#This Row],[Debit (SAR)]]</f>
        <v>17266.28</v>
      </c>
      <c r="H707" s="6">
        <f>Opening+SUM(INDEX(BankTransactions[Net (SAR)],1):BankTransactions[[#This Row],[Net (SAR)]])</f>
        <v>2871093.74</v>
      </c>
    </row>
    <row r="708" spans="1:8" x14ac:dyDescent="0.2">
      <c r="A708" s="5" t="s">
        <v>1050</v>
      </c>
      <c r="B708" s="4">
        <v>46252</v>
      </c>
      <c r="C708" s="2" t="s">
        <v>10</v>
      </c>
      <c r="D708" s="12">
        <v>0</v>
      </c>
      <c r="E708" s="13">
        <v>13837.39</v>
      </c>
      <c r="F708" s="19" t="str" cm="1">
        <f t="array" ref="F708">IFERROR(LOOKUP(2^15,SEARCH(CategoryMap[Keyword],BankTransactions[[#This Row],[Description]]),CategoryMap[Category]),"Other")</f>
        <v>Fuel &amp; Logistics</v>
      </c>
      <c r="G708" s="6">
        <f>BankTransactions[[#This Row],[Credit (SAR)]]-BankTransactions[[#This Row],[Debit (SAR)]]</f>
        <v>-13837.39</v>
      </c>
      <c r="H708" s="6">
        <f>Opening+SUM(INDEX(BankTransactions[Net (SAR)],1):BankTransactions[[#This Row],[Net (SAR)]])</f>
        <v>2857256.3500000006</v>
      </c>
    </row>
    <row r="709" spans="1:8" x14ac:dyDescent="0.2">
      <c r="A709" s="5" t="s">
        <v>1051</v>
      </c>
      <c r="B709" s="4">
        <v>46253</v>
      </c>
      <c r="C709" s="2" t="s">
        <v>207</v>
      </c>
      <c r="D709" s="12">
        <v>7975.57</v>
      </c>
      <c r="E709" s="13">
        <v>0</v>
      </c>
      <c r="F709" s="19" t="str" cm="1">
        <f t="array" ref="F709">IFERROR(LOOKUP(2^15,SEARCH(CategoryMap[Keyword],BankTransactions[[#This Row],[Description]]),CategoryMap[Category]),"Other")</f>
        <v>Customer Receipts</v>
      </c>
      <c r="G709" s="6">
        <f>BankTransactions[[#This Row],[Credit (SAR)]]-BankTransactions[[#This Row],[Debit (SAR)]]</f>
        <v>7975.57</v>
      </c>
      <c r="H709" s="6">
        <f>Opening+SUM(INDEX(BankTransactions[Net (SAR)],1):BankTransactions[[#This Row],[Net (SAR)]])</f>
        <v>2865231.9200000004</v>
      </c>
    </row>
    <row r="710" spans="1:8" x14ac:dyDescent="0.2">
      <c r="A710" s="5" t="s">
        <v>1052</v>
      </c>
      <c r="B710" s="4">
        <v>46254</v>
      </c>
      <c r="C710" s="2" t="s">
        <v>1053</v>
      </c>
      <c r="D710" s="12">
        <v>24791.23</v>
      </c>
      <c r="E710" s="13">
        <v>0</v>
      </c>
      <c r="F710" s="19" t="str" cm="1">
        <f t="array" ref="F710">IFERROR(LOOKUP(2^15,SEARCH(CategoryMap[Keyword],BankTransactions[[#This Row],[Description]]),CategoryMap[Category]),"Other")</f>
        <v>Customer Receipts</v>
      </c>
      <c r="G710" s="6">
        <f>BankTransactions[[#This Row],[Credit (SAR)]]-BankTransactions[[#This Row],[Debit (SAR)]]</f>
        <v>24791.23</v>
      </c>
      <c r="H710" s="6">
        <f>Opening+SUM(INDEX(BankTransactions[Net (SAR)],1):BankTransactions[[#This Row],[Net (SAR)]])</f>
        <v>2890023.1500000004</v>
      </c>
    </row>
    <row r="711" spans="1:8" x14ac:dyDescent="0.2">
      <c r="A711" s="5" t="s">
        <v>1054</v>
      </c>
      <c r="B711" s="4">
        <v>46254</v>
      </c>
      <c r="C711" s="2" t="s">
        <v>1055</v>
      </c>
      <c r="D711" s="12">
        <v>23267.54</v>
      </c>
      <c r="E711" s="13">
        <v>0</v>
      </c>
      <c r="F711" s="19" t="str" cm="1">
        <f t="array" ref="F711">IFERROR(LOOKUP(2^15,SEARCH(CategoryMap[Keyword],BankTransactions[[#This Row],[Description]]),CategoryMap[Category]),"Other")</f>
        <v>Customer Receipts</v>
      </c>
      <c r="G711" s="6">
        <f>BankTransactions[[#This Row],[Credit (SAR)]]-BankTransactions[[#This Row],[Debit (SAR)]]</f>
        <v>23267.54</v>
      </c>
      <c r="H711" s="6">
        <f>Opening+SUM(INDEX(BankTransactions[Net (SAR)],1):BankTransactions[[#This Row],[Net (SAR)]])</f>
        <v>2913290.6900000004</v>
      </c>
    </row>
    <row r="712" spans="1:8" x14ac:dyDescent="0.2">
      <c r="A712" s="5" t="s">
        <v>1056</v>
      </c>
      <c r="B712" s="4">
        <v>46254</v>
      </c>
      <c r="C712" s="2" t="s">
        <v>3</v>
      </c>
      <c r="D712" s="12">
        <v>0</v>
      </c>
      <c r="E712" s="13">
        <v>0</v>
      </c>
      <c r="F712" s="19" t="str" cm="1">
        <f t="array" ref="F712">IFERROR(LOOKUP(2^15,SEARCH(CategoryMap[Keyword],BankTransactions[[#This Row],[Description]]),CategoryMap[Category]),"Other")</f>
        <v>Supplier Payments</v>
      </c>
      <c r="G712" s="6">
        <f>BankTransactions[[#This Row],[Credit (SAR)]]-BankTransactions[[#This Row],[Debit (SAR)]]</f>
        <v>0</v>
      </c>
      <c r="H712" s="6">
        <f>Opening+SUM(INDEX(BankTransactions[Net (SAR)],1):BankTransactions[[#This Row],[Net (SAR)]])</f>
        <v>2913290.6900000004</v>
      </c>
    </row>
    <row r="713" spans="1:8" x14ac:dyDescent="0.2">
      <c r="A713" s="5" t="s">
        <v>1057</v>
      </c>
      <c r="B713" s="4">
        <v>46255</v>
      </c>
      <c r="C713" s="2" t="s">
        <v>10</v>
      </c>
      <c r="D713" s="12">
        <v>0</v>
      </c>
      <c r="E713" s="13">
        <v>11354.68</v>
      </c>
      <c r="F713" s="19" t="str" cm="1">
        <f t="array" ref="F713">IFERROR(LOOKUP(2^15,SEARCH(CategoryMap[Keyword],BankTransactions[[#This Row],[Description]]),CategoryMap[Category]),"Other")</f>
        <v>Fuel &amp; Logistics</v>
      </c>
      <c r="G713" s="6">
        <f>BankTransactions[[#This Row],[Credit (SAR)]]-BankTransactions[[#This Row],[Debit (SAR)]]</f>
        <v>-11354.68</v>
      </c>
      <c r="H713" s="6">
        <f>Opening+SUM(INDEX(BankTransactions[Net (SAR)],1):BankTransactions[[#This Row],[Net (SAR)]])</f>
        <v>2901936.0100000002</v>
      </c>
    </row>
    <row r="714" spans="1:8" x14ac:dyDescent="0.2">
      <c r="A714" s="5" t="s">
        <v>1058</v>
      </c>
      <c r="B714" s="4">
        <v>46256</v>
      </c>
      <c r="C714" s="2" t="s">
        <v>1059</v>
      </c>
      <c r="D714" s="12">
        <v>3638.54</v>
      </c>
      <c r="E714" s="13">
        <v>0</v>
      </c>
      <c r="F714" s="19" t="str" cm="1">
        <f t="array" ref="F714">IFERROR(LOOKUP(2^15,SEARCH(CategoryMap[Keyword],BankTransactions[[#This Row],[Description]]),CategoryMap[Category]),"Other")</f>
        <v>Customer Receipts</v>
      </c>
      <c r="G714" s="6">
        <f>BankTransactions[[#This Row],[Credit (SAR)]]-BankTransactions[[#This Row],[Debit (SAR)]]</f>
        <v>3638.54</v>
      </c>
      <c r="H714" s="6">
        <f>Opening+SUM(INDEX(BankTransactions[Net (SAR)],1):BankTransactions[[#This Row],[Net (SAR)]])</f>
        <v>2905574.5500000003</v>
      </c>
    </row>
    <row r="715" spans="1:8" x14ac:dyDescent="0.2">
      <c r="A715" s="5" t="s">
        <v>1060</v>
      </c>
      <c r="B715" s="4">
        <v>46258</v>
      </c>
      <c r="C715" s="2" t="s">
        <v>1061</v>
      </c>
      <c r="D715" s="12">
        <v>2303.0100000000002</v>
      </c>
      <c r="E715" s="13">
        <v>0</v>
      </c>
      <c r="F715" s="19" t="str" cm="1">
        <f t="array" ref="F715">IFERROR(LOOKUP(2^15,SEARCH(CategoryMap[Keyword],BankTransactions[[#This Row],[Description]]),CategoryMap[Category]),"Other")</f>
        <v>Customer Receipts</v>
      </c>
      <c r="G715" s="6">
        <f>BankTransactions[[#This Row],[Credit (SAR)]]-BankTransactions[[#This Row],[Debit (SAR)]]</f>
        <v>2303.0100000000002</v>
      </c>
      <c r="H715" s="6">
        <f>Opening+SUM(INDEX(BankTransactions[Net (SAR)],1):BankTransactions[[#This Row],[Net (SAR)]])</f>
        <v>2907877.5600000005</v>
      </c>
    </row>
    <row r="716" spans="1:8" x14ac:dyDescent="0.2">
      <c r="A716" s="5" t="s">
        <v>1062</v>
      </c>
      <c r="B716" s="4">
        <v>46259</v>
      </c>
      <c r="C716" s="2" t="s">
        <v>22</v>
      </c>
      <c r="D716" s="12">
        <v>0</v>
      </c>
      <c r="E716" s="13">
        <v>64000</v>
      </c>
      <c r="F716" s="19" t="str" cm="1">
        <f t="array" ref="F716">IFERROR(LOOKUP(2^15,SEARCH(CategoryMap[Keyword],BankTransactions[[#This Row],[Description]]),CategoryMap[Category]),"Other")</f>
        <v>Payroll</v>
      </c>
      <c r="G716" s="6">
        <f>BankTransactions[[#This Row],[Credit (SAR)]]-BankTransactions[[#This Row],[Debit (SAR)]]</f>
        <v>-64000</v>
      </c>
      <c r="H716" s="6">
        <f>Opening+SUM(INDEX(BankTransactions[Net (SAR)],1):BankTransactions[[#This Row],[Net (SAR)]])</f>
        <v>2843877.5600000005</v>
      </c>
    </row>
    <row r="717" spans="1:8" x14ac:dyDescent="0.2">
      <c r="A717" s="5" t="s">
        <v>1063</v>
      </c>
      <c r="B717" s="4">
        <v>46259</v>
      </c>
      <c r="C717" s="2" t="s">
        <v>24</v>
      </c>
      <c r="D717" s="12">
        <v>0</v>
      </c>
      <c r="E717" s="13">
        <v>21000</v>
      </c>
      <c r="F717" s="19" t="str" cm="1">
        <f t="array" ref="F717">IFERROR(LOOKUP(2^15,SEARCH(CategoryMap[Keyword],BankTransactions[[#This Row],[Description]]),CategoryMap[Category]),"Other")</f>
        <v>Loan Repayments</v>
      </c>
      <c r="G717" s="6">
        <f>BankTransactions[[#This Row],[Credit (SAR)]]-BankTransactions[[#This Row],[Debit (SAR)]]</f>
        <v>-21000</v>
      </c>
      <c r="H717" s="6">
        <f>Opening+SUM(INDEX(BankTransactions[Net (SAR)],1):BankTransactions[[#This Row],[Net (SAR)]])</f>
        <v>2822877.5600000005</v>
      </c>
    </row>
    <row r="718" spans="1:8" x14ac:dyDescent="0.2">
      <c r="A718" s="5" t="s">
        <v>1064</v>
      </c>
      <c r="B718" s="4">
        <v>46259</v>
      </c>
      <c r="C718" s="2" t="s">
        <v>10</v>
      </c>
      <c r="D718" s="12">
        <v>0</v>
      </c>
      <c r="E718" s="13">
        <v>17655.310000000001</v>
      </c>
      <c r="F718" s="19" t="str" cm="1">
        <f t="array" ref="F718">IFERROR(LOOKUP(2^15,SEARCH(CategoryMap[Keyword],BankTransactions[[#This Row],[Description]]),CategoryMap[Category]),"Other")</f>
        <v>Fuel &amp; Logistics</v>
      </c>
      <c r="G718" s="6">
        <f>BankTransactions[[#This Row],[Credit (SAR)]]-BankTransactions[[#This Row],[Debit (SAR)]]</f>
        <v>-17655.310000000001</v>
      </c>
      <c r="H718" s="6">
        <f>Opening+SUM(INDEX(BankTransactions[Net (SAR)],1):BankTransactions[[#This Row],[Net (SAR)]])</f>
        <v>2805222.2500000005</v>
      </c>
    </row>
    <row r="719" spans="1:8" x14ac:dyDescent="0.2">
      <c r="A719" s="5" t="s">
        <v>1065</v>
      </c>
      <c r="B719" s="4">
        <v>46260</v>
      </c>
      <c r="C719" s="2" t="s">
        <v>97</v>
      </c>
      <c r="D719" s="12">
        <v>1109.32</v>
      </c>
      <c r="E719" s="13">
        <v>0</v>
      </c>
      <c r="F719" s="19" t="str" cm="1">
        <f t="array" ref="F719">IFERROR(LOOKUP(2^15,SEARCH(CategoryMap[Keyword],BankTransactions[[#This Row],[Description]]),CategoryMap[Category]),"Other")</f>
        <v>Customer Receipts</v>
      </c>
      <c r="G719" s="6">
        <f>BankTransactions[[#This Row],[Credit (SAR)]]-BankTransactions[[#This Row],[Debit (SAR)]]</f>
        <v>1109.32</v>
      </c>
      <c r="H719" s="6">
        <f>Opening+SUM(INDEX(BankTransactions[Net (SAR)],1):BankTransactions[[#This Row],[Net (SAR)]])</f>
        <v>2806331.5700000003</v>
      </c>
    </row>
    <row r="720" spans="1:8" x14ac:dyDescent="0.2">
      <c r="A720" s="5" t="s">
        <v>1066</v>
      </c>
      <c r="B720" s="4">
        <v>46260</v>
      </c>
      <c r="C720" s="2" t="s">
        <v>1067</v>
      </c>
      <c r="D720" s="12">
        <v>8214.89</v>
      </c>
      <c r="E720" s="13">
        <v>0</v>
      </c>
      <c r="F720" s="19" t="str" cm="1">
        <f t="array" ref="F720">IFERROR(LOOKUP(2^15,SEARCH(CategoryMap[Keyword],BankTransactions[[#This Row],[Description]]),CategoryMap[Category]),"Other")</f>
        <v>Customer Receipts</v>
      </c>
      <c r="G720" s="6">
        <f>BankTransactions[[#This Row],[Credit (SAR)]]-BankTransactions[[#This Row],[Debit (SAR)]]</f>
        <v>8214.89</v>
      </c>
      <c r="H720" s="6">
        <f>Opening+SUM(INDEX(BankTransactions[Net (SAR)],1):BankTransactions[[#This Row],[Net (SAR)]])</f>
        <v>2814546.4600000004</v>
      </c>
    </row>
    <row r="721" spans="1:8" x14ac:dyDescent="0.2">
      <c r="A721" s="5" t="s">
        <v>1068</v>
      </c>
      <c r="B721" s="4">
        <v>46261</v>
      </c>
      <c r="C721" s="2" t="s">
        <v>1069</v>
      </c>
      <c r="D721" s="12">
        <v>25035.040000000001</v>
      </c>
      <c r="E721" s="13">
        <v>0</v>
      </c>
      <c r="F721" s="19" t="str" cm="1">
        <f t="array" ref="F721">IFERROR(LOOKUP(2^15,SEARCH(CategoryMap[Keyword],BankTransactions[[#This Row],[Description]]),CategoryMap[Category]),"Other")</f>
        <v>Customer Receipts</v>
      </c>
      <c r="G721" s="6">
        <f>BankTransactions[[#This Row],[Credit (SAR)]]-BankTransactions[[#This Row],[Debit (SAR)]]</f>
        <v>25035.040000000001</v>
      </c>
      <c r="H721" s="6">
        <f>Opening+SUM(INDEX(BankTransactions[Net (SAR)],1):BankTransactions[[#This Row],[Net (SAR)]])</f>
        <v>2839581.5000000005</v>
      </c>
    </row>
    <row r="722" spans="1:8" x14ac:dyDescent="0.2">
      <c r="A722" s="5" t="s">
        <v>1070</v>
      </c>
      <c r="B722" s="4">
        <v>46261</v>
      </c>
      <c r="C722" s="2" t="s">
        <v>1071</v>
      </c>
      <c r="D722" s="12">
        <v>27743.67</v>
      </c>
      <c r="E722" s="13">
        <v>0</v>
      </c>
      <c r="F722" s="19" t="str" cm="1">
        <f t="array" ref="F722">IFERROR(LOOKUP(2^15,SEARCH(CategoryMap[Keyword],BankTransactions[[#This Row],[Description]]),CategoryMap[Category]),"Other")</f>
        <v>Customer Receipts</v>
      </c>
      <c r="G722" s="6">
        <f>BankTransactions[[#This Row],[Credit (SAR)]]-BankTransactions[[#This Row],[Debit (SAR)]]</f>
        <v>27743.67</v>
      </c>
      <c r="H722" s="6">
        <f>Opening+SUM(INDEX(BankTransactions[Net (SAR)],1):BankTransactions[[#This Row],[Net (SAR)]])</f>
        <v>2867325.1700000004</v>
      </c>
    </row>
    <row r="723" spans="1:8" x14ac:dyDescent="0.2">
      <c r="A723" s="5" t="s">
        <v>1072</v>
      </c>
      <c r="B723" s="4">
        <v>46262</v>
      </c>
      <c r="C723" s="2" t="s">
        <v>1073</v>
      </c>
      <c r="D723" s="12">
        <v>16583.080000000002</v>
      </c>
      <c r="E723" s="13">
        <v>0</v>
      </c>
      <c r="F723" s="19" t="str" cm="1">
        <f t="array" ref="F723">IFERROR(LOOKUP(2^15,SEARCH(CategoryMap[Keyword],BankTransactions[[#This Row],[Description]]),CategoryMap[Category]),"Other")</f>
        <v>Customer Receipts</v>
      </c>
      <c r="G723" s="6">
        <f>BankTransactions[[#This Row],[Credit (SAR)]]-BankTransactions[[#This Row],[Debit (SAR)]]</f>
        <v>16583.080000000002</v>
      </c>
      <c r="H723" s="6">
        <f>Opening+SUM(INDEX(BankTransactions[Net (SAR)],1):BankTransactions[[#This Row],[Net (SAR)]])</f>
        <v>2883908.2500000005</v>
      </c>
    </row>
    <row r="724" spans="1:8" x14ac:dyDescent="0.2">
      <c r="A724" s="5" t="s">
        <v>1074</v>
      </c>
      <c r="B724" s="4">
        <v>46263</v>
      </c>
      <c r="C724" s="2" t="s">
        <v>3</v>
      </c>
      <c r="D724" s="12">
        <v>0</v>
      </c>
      <c r="E724" s="13">
        <v>20663.02</v>
      </c>
      <c r="F724" s="19" t="str" cm="1">
        <f t="array" ref="F724">IFERROR(LOOKUP(2^15,SEARCH(CategoryMap[Keyword],BankTransactions[[#This Row],[Description]]),CategoryMap[Category]),"Other")</f>
        <v>Supplier Payments</v>
      </c>
      <c r="G724" s="6">
        <f>BankTransactions[[#This Row],[Credit (SAR)]]-BankTransactions[[#This Row],[Debit (SAR)]]</f>
        <v>-20663.02</v>
      </c>
      <c r="H724" s="6">
        <f>Opening+SUM(INDEX(BankTransactions[Net (SAR)],1):BankTransactions[[#This Row],[Net (SAR)]])</f>
        <v>2863245.2300000004</v>
      </c>
    </row>
    <row r="725" spans="1:8" x14ac:dyDescent="0.2">
      <c r="A725" s="5" t="s">
        <v>1075</v>
      </c>
      <c r="B725" s="4">
        <v>46263</v>
      </c>
      <c r="C725" s="2" t="s">
        <v>12</v>
      </c>
      <c r="D725" s="12">
        <v>9332.51</v>
      </c>
      <c r="E725" s="13">
        <v>0</v>
      </c>
      <c r="F725" s="19" t="str" cm="1">
        <f t="array" ref="F725">IFERROR(LOOKUP(2^15,SEARCH(CategoryMap[Keyword],BankTransactions[[#This Row],[Description]]),CategoryMap[Category]),"Other")</f>
        <v>Cash Deposits</v>
      </c>
      <c r="G725" s="6">
        <f>BankTransactions[[#This Row],[Credit (SAR)]]-BankTransactions[[#This Row],[Debit (SAR)]]</f>
        <v>9332.51</v>
      </c>
      <c r="H725" s="6">
        <f>Opening+SUM(INDEX(BankTransactions[Net (SAR)],1):BankTransactions[[#This Row],[Net (SAR)]])</f>
        <v>2872577.74</v>
      </c>
    </row>
    <row r="726" spans="1:8" x14ac:dyDescent="0.2">
      <c r="A726" s="5" t="s">
        <v>1076</v>
      </c>
      <c r="B726" s="4">
        <v>46264</v>
      </c>
      <c r="C726" s="2" t="s">
        <v>1077</v>
      </c>
      <c r="D726" s="12">
        <v>1652.18</v>
      </c>
      <c r="E726" s="13">
        <v>0</v>
      </c>
      <c r="F726" s="19" t="str" cm="1">
        <f t="array" ref="F726">IFERROR(LOOKUP(2^15,SEARCH(CategoryMap[Keyword],BankTransactions[[#This Row],[Description]]),CategoryMap[Category]),"Other")</f>
        <v>Customer Receipts</v>
      </c>
      <c r="G726" s="6">
        <f>BankTransactions[[#This Row],[Credit (SAR)]]-BankTransactions[[#This Row],[Debit (SAR)]]</f>
        <v>1652.18</v>
      </c>
      <c r="H726" s="6">
        <f>Opening+SUM(INDEX(BankTransactions[Net (SAR)],1):BankTransactions[[#This Row],[Net (SAR)]])</f>
        <v>2874229.9200000004</v>
      </c>
    </row>
    <row r="727" spans="1:8" x14ac:dyDescent="0.2">
      <c r="A727" s="5" t="s">
        <v>1078</v>
      </c>
      <c r="B727" s="4">
        <v>46264</v>
      </c>
      <c r="C727" s="2" t="s">
        <v>7</v>
      </c>
      <c r="D727" s="12">
        <v>0</v>
      </c>
      <c r="E727" s="13">
        <v>14936.11</v>
      </c>
      <c r="F727" s="19" t="str" cm="1">
        <f t="array" ref="F727">IFERROR(LOOKUP(2^15,SEARCH(CategoryMap[Keyword],BankTransactions[[#This Row],[Description]]),CategoryMap[Category]),"Other")</f>
        <v>Supplier Payments</v>
      </c>
      <c r="G727" s="6">
        <f>BankTransactions[[#This Row],[Credit (SAR)]]-BankTransactions[[#This Row],[Debit (SAR)]]</f>
        <v>-14936.11</v>
      </c>
      <c r="H727" s="6">
        <f>Opening+SUM(INDEX(BankTransactions[Net (SAR)],1):BankTransactions[[#This Row],[Net (SAR)]])</f>
        <v>2859293.8100000005</v>
      </c>
    </row>
    <row r="728" spans="1:8" x14ac:dyDescent="0.2">
      <c r="A728" s="5" t="s">
        <v>1079</v>
      </c>
      <c r="B728" s="4">
        <v>46265</v>
      </c>
      <c r="C728" s="2" t="s">
        <v>1080</v>
      </c>
      <c r="D728" s="12">
        <v>1944.9</v>
      </c>
      <c r="E728" s="13">
        <v>0</v>
      </c>
      <c r="F728" s="19" t="str" cm="1">
        <f t="array" ref="F728">IFERROR(LOOKUP(2^15,SEARCH(CategoryMap[Keyword],BankTransactions[[#This Row],[Description]]),CategoryMap[Category]),"Other")</f>
        <v>Customer Receipts</v>
      </c>
      <c r="G728" s="6">
        <f>BankTransactions[[#This Row],[Credit (SAR)]]-BankTransactions[[#This Row],[Debit (SAR)]]</f>
        <v>1944.9</v>
      </c>
      <c r="H728" s="6">
        <f>Opening+SUM(INDEX(BankTransactions[Net (SAR)],1):BankTransactions[[#This Row],[Net (SAR)]])</f>
        <v>2861238.7100000004</v>
      </c>
    </row>
    <row r="729" spans="1:8" x14ac:dyDescent="0.2">
      <c r="A729" s="5" t="s">
        <v>1081</v>
      </c>
      <c r="B729" s="4">
        <v>46265</v>
      </c>
      <c r="C729" s="2" t="s">
        <v>1082</v>
      </c>
      <c r="D729" s="12">
        <v>6672.05</v>
      </c>
      <c r="E729" s="13">
        <v>0</v>
      </c>
      <c r="F729" s="19" t="str" cm="1">
        <f t="array" ref="F729">IFERROR(LOOKUP(2^15,SEARCH(CategoryMap[Keyword],BankTransactions[[#This Row],[Description]]),CategoryMap[Category]),"Other")</f>
        <v>Customer Receipts</v>
      </c>
      <c r="G729" s="6">
        <f>BankTransactions[[#This Row],[Credit (SAR)]]-BankTransactions[[#This Row],[Debit (SAR)]]</f>
        <v>6672.05</v>
      </c>
      <c r="H729" s="6">
        <f>Opening+SUM(INDEX(BankTransactions[Net (SAR)],1):BankTransactions[[#This Row],[Net (SAR)]])</f>
        <v>2867910.7600000002</v>
      </c>
    </row>
    <row r="730" spans="1:8" x14ac:dyDescent="0.2">
      <c r="A730" s="5" t="s">
        <v>1083</v>
      </c>
      <c r="B730" s="4">
        <v>46265</v>
      </c>
      <c r="C730" s="2" t="s">
        <v>1084</v>
      </c>
      <c r="D730" s="12">
        <v>3133.32</v>
      </c>
      <c r="E730" s="13">
        <v>0</v>
      </c>
      <c r="F730" s="19" t="str" cm="1">
        <f t="array" ref="F730">IFERROR(LOOKUP(2^15,SEARCH(CategoryMap[Keyword],BankTransactions[[#This Row],[Description]]),CategoryMap[Category]),"Other")</f>
        <v>Customer Receipts</v>
      </c>
      <c r="G730" s="6">
        <f>BankTransactions[[#This Row],[Credit (SAR)]]-BankTransactions[[#This Row],[Debit (SAR)]]</f>
        <v>3133.32</v>
      </c>
      <c r="H730" s="6">
        <f>Opening+SUM(INDEX(BankTransactions[Net (SAR)],1):BankTransactions[[#This Row],[Net (SAR)]])</f>
        <v>2871044.08</v>
      </c>
    </row>
    <row r="731" spans="1:8" x14ac:dyDescent="0.2">
      <c r="A731" s="5" t="s">
        <v>1085</v>
      </c>
      <c r="B731" s="4">
        <v>46265</v>
      </c>
      <c r="C731" s="2" t="s">
        <v>97</v>
      </c>
      <c r="D731" s="12">
        <v>9924.58</v>
      </c>
      <c r="E731" s="13">
        <v>0</v>
      </c>
      <c r="F731" s="19" t="str" cm="1">
        <f t="array" ref="F731">IFERROR(LOOKUP(2^15,SEARCH(CategoryMap[Keyword],BankTransactions[[#This Row],[Description]]),CategoryMap[Category]),"Other")</f>
        <v>Customer Receipts</v>
      </c>
      <c r="G731" s="6">
        <f>BankTransactions[[#This Row],[Credit (SAR)]]-BankTransactions[[#This Row],[Debit (SAR)]]</f>
        <v>9924.58</v>
      </c>
      <c r="H731" s="6">
        <f>Opening+SUM(INDEX(BankTransactions[Net (SAR)],1):BankTransactions[[#This Row],[Net (SAR)]])</f>
        <v>2880968.66</v>
      </c>
    </row>
    <row r="732" spans="1:8" x14ac:dyDescent="0.2">
      <c r="A732" s="5" t="s">
        <v>1086</v>
      </c>
      <c r="B732" s="4">
        <v>46266</v>
      </c>
      <c r="C732" s="2" t="s">
        <v>1087</v>
      </c>
      <c r="D732" s="12">
        <v>16042.47</v>
      </c>
      <c r="E732" s="13">
        <v>0</v>
      </c>
      <c r="F732" s="19" t="str" cm="1">
        <f t="array" ref="F732">IFERROR(LOOKUP(2^15,SEARCH(CategoryMap[Keyword],BankTransactions[[#This Row],[Description]]),CategoryMap[Category]),"Other")</f>
        <v>Customer Receipts</v>
      </c>
      <c r="G732" s="6">
        <f>BankTransactions[[#This Row],[Credit (SAR)]]-BankTransactions[[#This Row],[Debit (SAR)]]</f>
        <v>16042.47</v>
      </c>
      <c r="H732" s="6">
        <f>Opening+SUM(INDEX(BankTransactions[Net (SAR)],1):BankTransactions[[#This Row],[Net (SAR)]])</f>
        <v>2897011.1300000004</v>
      </c>
    </row>
    <row r="733" spans="1:8" x14ac:dyDescent="0.2">
      <c r="A733" s="5" t="s">
        <v>1088</v>
      </c>
      <c r="B733" s="4">
        <v>46266</v>
      </c>
      <c r="C733" s="2" t="s">
        <v>1089</v>
      </c>
      <c r="D733" s="12">
        <v>18227.2</v>
      </c>
      <c r="E733" s="13">
        <v>0</v>
      </c>
      <c r="F733" s="19" t="str" cm="1">
        <f t="array" ref="F733">IFERROR(LOOKUP(2^15,SEARCH(CategoryMap[Keyword],BankTransactions[[#This Row],[Description]]),CategoryMap[Category]),"Other")</f>
        <v>Customer Receipts</v>
      </c>
      <c r="G733" s="6">
        <f>BankTransactions[[#This Row],[Credit (SAR)]]-BankTransactions[[#This Row],[Debit (SAR)]]</f>
        <v>18227.2</v>
      </c>
      <c r="H733" s="6">
        <f>Opening+SUM(INDEX(BankTransactions[Net (SAR)],1):BankTransactions[[#This Row],[Net (SAR)]])</f>
        <v>2915238.33</v>
      </c>
    </row>
    <row r="734" spans="1:8" x14ac:dyDescent="0.2">
      <c r="A734" s="5" t="s">
        <v>1090</v>
      </c>
      <c r="B734" s="4">
        <v>46266</v>
      </c>
      <c r="C734" s="2" t="s">
        <v>1</v>
      </c>
      <c r="D734" s="12">
        <v>0</v>
      </c>
      <c r="E734" s="13">
        <v>38000</v>
      </c>
      <c r="F734" s="19" t="str" cm="1">
        <f t="array" ref="F734">IFERROR(LOOKUP(2^15,SEARCH(CategoryMap[Keyword],BankTransactions[[#This Row],[Description]]),CategoryMap[Category]),"Other")</f>
        <v>Rent</v>
      </c>
      <c r="G734" s="6">
        <f>BankTransactions[[#This Row],[Credit (SAR)]]-BankTransactions[[#This Row],[Debit (SAR)]]</f>
        <v>-38000</v>
      </c>
      <c r="H734" s="6">
        <f>Opening+SUM(INDEX(BankTransactions[Net (SAR)],1):BankTransactions[[#This Row],[Net (SAR)]])</f>
        <v>2877238.33</v>
      </c>
    </row>
    <row r="735" spans="1:8" x14ac:dyDescent="0.2">
      <c r="A735" s="5" t="s">
        <v>1091</v>
      </c>
      <c r="B735" s="4">
        <v>46266</v>
      </c>
      <c r="C735" s="2" t="s">
        <v>10</v>
      </c>
      <c r="D735" s="12">
        <v>0</v>
      </c>
      <c r="E735" s="13">
        <v>15278.2</v>
      </c>
      <c r="F735" s="19" t="str" cm="1">
        <f t="array" ref="F735">IFERROR(LOOKUP(2^15,SEARCH(CategoryMap[Keyword],BankTransactions[[#This Row],[Description]]),CategoryMap[Category]),"Other")</f>
        <v>Fuel &amp; Logistics</v>
      </c>
      <c r="G735" s="6">
        <f>BankTransactions[[#This Row],[Credit (SAR)]]-BankTransactions[[#This Row],[Debit (SAR)]]</f>
        <v>-15278.2</v>
      </c>
      <c r="H735" s="6">
        <f>Opening+SUM(INDEX(BankTransactions[Net (SAR)],1):BankTransactions[[#This Row],[Net (SAR)]])</f>
        <v>2861960.1300000004</v>
      </c>
    </row>
    <row r="736" spans="1:8" x14ac:dyDescent="0.2">
      <c r="A736" s="5" t="s">
        <v>1092</v>
      </c>
      <c r="B736" s="4">
        <v>46266</v>
      </c>
      <c r="C736" s="2" t="s">
        <v>7</v>
      </c>
      <c r="D736" s="12">
        <v>0</v>
      </c>
      <c r="E736" s="13">
        <v>7400.24</v>
      </c>
      <c r="F736" s="19" t="str" cm="1">
        <f t="array" ref="F736">IFERROR(LOOKUP(2^15,SEARCH(CategoryMap[Keyword],BankTransactions[[#This Row],[Description]]),CategoryMap[Category]),"Other")</f>
        <v>Supplier Payments</v>
      </c>
      <c r="G736" s="6">
        <f>BankTransactions[[#This Row],[Credit (SAR)]]-BankTransactions[[#This Row],[Debit (SAR)]]</f>
        <v>-7400.24</v>
      </c>
      <c r="H736" s="6">
        <f>Opening+SUM(INDEX(BankTransactions[Net (SAR)],1):BankTransactions[[#This Row],[Net (SAR)]])</f>
        <v>2854559.89</v>
      </c>
    </row>
    <row r="737" spans="1:8" x14ac:dyDescent="0.2">
      <c r="A737" s="5" t="s">
        <v>1093</v>
      </c>
      <c r="B737" s="4">
        <v>46267</v>
      </c>
      <c r="C737" s="2" t="s">
        <v>1094</v>
      </c>
      <c r="D737" s="12">
        <v>58240.61</v>
      </c>
      <c r="E737" s="13">
        <v>0</v>
      </c>
      <c r="F737" s="19" t="str" cm="1">
        <f t="array" ref="F737">IFERROR(LOOKUP(2^15,SEARCH(CategoryMap[Keyword],BankTransactions[[#This Row],[Description]]),CategoryMap[Category]),"Other")</f>
        <v>Customer Receipts</v>
      </c>
      <c r="G737" s="6">
        <f>BankTransactions[[#This Row],[Credit (SAR)]]-BankTransactions[[#This Row],[Debit (SAR)]]</f>
        <v>58240.61</v>
      </c>
      <c r="H737" s="6">
        <f>Opening+SUM(INDEX(BankTransactions[Net (SAR)],1):BankTransactions[[#This Row],[Net (SAR)]])</f>
        <v>2912800.5000000005</v>
      </c>
    </row>
    <row r="738" spans="1:8" x14ac:dyDescent="0.2">
      <c r="A738" s="5" t="s">
        <v>1095</v>
      </c>
      <c r="B738" s="4">
        <v>46268</v>
      </c>
      <c r="C738" s="2" t="s">
        <v>1096</v>
      </c>
      <c r="D738" s="12">
        <v>2166.67</v>
      </c>
      <c r="E738" s="13">
        <v>0</v>
      </c>
      <c r="F738" s="19" t="str" cm="1">
        <f t="array" ref="F738">IFERROR(LOOKUP(2^15,SEARCH(CategoryMap[Keyword],BankTransactions[[#This Row],[Description]]),CategoryMap[Category]),"Other")</f>
        <v>Customer Receipts</v>
      </c>
      <c r="G738" s="6">
        <f>BankTransactions[[#This Row],[Credit (SAR)]]-BankTransactions[[#This Row],[Debit (SAR)]]</f>
        <v>2166.67</v>
      </c>
      <c r="H738" s="6">
        <f>Opening+SUM(INDEX(BankTransactions[Net (SAR)],1):BankTransactions[[#This Row],[Net (SAR)]])</f>
        <v>2914967.1700000004</v>
      </c>
    </row>
    <row r="739" spans="1:8" x14ac:dyDescent="0.2">
      <c r="A739" s="5" t="s">
        <v>1097</v>
      </c>
      <c r="B739" s="4">
        <v>46268</v>
      </c>
      <c r="C739" s="2" t="s">
        <v>3</v>
      </c>
      <c r="D739" s="12">
        <v>0</v>
      </c>
      <c r="E739" s="13">
        <v>40630.769999999997</v>
      </c>
      <c r="F739" s="19" t="str" cm="1">
        <f t="array" ref="F739">IFERROR(LOOKUP(2^15,SEARCH(CategoryMap[Keyword],BankTransactions[[#This Row],[Description]]),CategoryMap[Category]),"Other")</f>
        <v>Supplier Payments</v>
      </c>
      <c r="G739" s="6">
        <f>BankTransactions[[#This Row],[Credit (SAR)]]-BankTransactions[[#This Row],[Debit (SAR)]]</f>
        <v>-40630.769999999997</v>
      </c>
      <c r="H739" s="6">
        <f>Opening+SUM(INDEX(BankTransactions[Net (SAR)],1):BankTransactions[[#This Row],[Net (SAR)]])</f>
        <v>2874336.4000000004</v>
      </c>
    </row>
    <row r="740" spans="1:8" x14ac:dyDescent="0.2">
      <c r="A740" s="5" t="s">
        <v>1098</v>
      </c>
      <c r="B740" s="4">
        <v>46269</v>
      </c>
      <c r="C740" s="2" t="s">
        <v>1099</v>
      </c>
      <c r="D740" s="12">
        <v>8628.51</v>
      </c>
      <c r="E740" s="13">
        <v>0</v>
      </c>
      <c r="F740" s="19" t="str" cm="1">
        <f t="array" ref="F740">IFERROR(LOOKUP(2^15,SEARCH(CategoryMap[Keyword],BankTransactions[[#This Row],[Description]]),CategoryMap[Category]),"Other")</f>
        <v>Customer Receipts</v>
      </c>
      <c r="G740" s="6">
        <f>BankTransactions[[#This Row],[Credit (SAR)]]-BankTransactions[[#This Row],[Debit (SAR)]]</f>
        <v>8628.51</v>
      </c>
      <c r="H740" s="6">
        <f>Opening+SUM(INDEX(BankTransactions[Net (SAR)],1):BankTransactions[[#This Row],[Net (SAR)]])</f>
        <v>2882964.91</v>
      </c>
    </row>
    <row r="741" spans="1:8" x14ac:dyDescent="0.2">
      <c r="A741" s="5" t="s">
        <v>1100</v>
      </c>
      <c r="B741" s="4">
        <v>46271</v>
      </c>
      <c r="C741" s="2" t="s">
        <v>3</v>
      </c>
      <c r="D741" s="12">
        <v>0</v>
      </c>
      <c r="E741" s="13">
        <v>38750.06</v>
      </c>
      <c r="F741" s="19" t="str" cm="1">
        <f t="array" ref="F741">IFERROR(LOOKUP(2^15,SEARCH(CategoryMap[Keyword],BankTransactions[[#This Row],[Description]]),CategoryMap[Category]),"Other")</f>
        <v>Supplier Payments</v>
      </c>
      <c r="G741" s="6">
        <f>BankTransactions[[#This Row],[Credit (SAR)]]-BankTransactions[[#This Row],[Debit (SAR)]]</f>
        <v>-38750.06</v>
      </c>
      <c r="H741" s="6">
        <f>Opening+SUM(INDEX(BankTransactions[Net (SAR)],1):BankTransactions[[#This Row],[Net (SAR)]])</f>
        <v>2844214.85</v>
      </c>
    </row>
    <row r="742" spans="1:8" x14ac:dyDescent="0.2">
      <c r="A742" s="5" t="s">
        <v>1101</v>
      </c>
      <c r="B742" s="4">
        <v>46272</v>
      </c>
      <c r="C742" s="2" t="s">
        <v>1102</v>
      </c>
      <c r="D742" s="12">
        <v>5787.89</v>
      </c>
      <c r="E742" s="13">
        <v>0</v>
      </c>
      <c r="F742" s="19" t="str" cm="1">
        <f t="array" ref="F742">IFERROR(LOOKUP(2^15,SEARCH(CategoryMap[Keyword],BankTransactions[[#This Row],[Description]]),CategoryMap[Category]),"Other")</f>
        <v>Customer Receipts</v>
      </c>
      <c r="G742" s="6">
        <f>BankTransactions[[#This Row],[Credit (SAR)]]-BankTransactions[[#This Row],[Debit (SAR)]]</f>
        <v>5787.89</v>
      </c>
      <c r="H742" s="6">
        <f>Opening+SUM(INDEX(BankTransactions[Net (SAR)],1):BankTransactions[[#This Row],[Net (SAR)]])</f>
        <v>2850002.74</v>
      </c>
    </row>
    <row r="743" spans="1:8" x14ac:dyDescent="0.2">
      <c r="A743" s="5" t="s">
        <v>1103</v>
      </c>
      <c r="B743" s="4">
        <v>46272</v>
      </c>
      <c r="C743" s="2" t="s">
        <v>7</v>
      </c>
      <c r="D743" s="12">
        <v>0</v>
      </c>
      <c r="E743" s="13">
        <v>8943.7000000000007</v>
      </c>
      <c r="F743" s="19" t="str" cm="1">
        <f t="array" ref="F743">IFERROR(LOOKUP(2^15,SEARCH(CategoryMap[Keyword],BankTransactions[[#This Row],[Description]]),CategoryMap[Category]),"Other")</f>
        <v>Supplier Payments</v>
      </c>
      <c r="G743" s="6">
        <f>BankTransactions[[#This Row],[Credit (SAR)]]-BankTransactions[[#This Row],[Debit (SAR)]]</f>
        <v>-8943.7000000000007</v>
      </c>
      <c r="H743" s="6">
        <f>Opening+SUM(INDEX(BankTransactions[Net (SAR)],1):BankTransactions[[#This Row],[Net (SAR)]])</f>
        <v>2841059.04</v>
      </c>
    </row>
    <row r="744" spans="1:8" x14ac:dyDescent="0.2">
      <c r="A744" s="5" t="s">
        <v>1104</v>
      </c>
      <c r="B744" s="4">
        <v>46273</v>
      </c>
      <c r="C744" s="2" t="s">
        <v>1105</v>
      </c>
      <c r="D744" s="12">
        <v>2246.7600000000002</v>
      </c>
      <c r="E744" s="13">
        <v>0</v>
      </c>
      <c r="F744" s="19" t="str" cm="1">
        <f t="array" ref="F744">IFERROR(LOOKUP(2^15,SEARCH(CategoryMap[Keyword],BankTransactions[[#This Row],[Description]]),CategoryMap[Category]),"Other")</f>
        <v>Customer Receipts</v>
      </c>
      <c r="G744" s="6">
        <f>BankTransactions[[#This Row],[Credit (SAR)]]-BankTransactions[[#This Row],[Debit (SAR)]]</f>
        <v>2246.7600000000002</v>
      </c>
      <c r="H744" s="6">
        <f>Opening+SUM(INDEX(BankTransactions[Net (SAR)],1):BankTransactions[[#This Row],[Net (SAR)]])</f>
        <v>2843305.8000000003</v>
      </c>
    </row>
    <row r="745" spans="1:8" x14ac:dyDescent="0.2">
      <c r="A745" s="5" t="s">
        <v>1106</v>
      </c>
      <c r="B745" s="4">
        <v>46273</v>
      </c>
      <c r="C745" s="2" t="s">
        <v>1107</v>
      </c>
      <c r="D745" s="12">
        <v>10046.74</v>
      </c>
      <c r="E745" s="13">
        <v>0</v>
      </c>
      <c r="F745" s="19" t="str" cm="1">
        <f t="array" ref="F745">IFERROR(LOOKUP(2^15,SEARCH(CategoryMap[Keyword],BankTransactions[[#This Row],[Description]]),CategoryMap[Category]),"Other")</f>
        <v>Customer Receipts</v>
      </c>
      <c r="G745" s="6">
        <f>BankTransactions[[#This Row],[Credit (SAR)]]-BankTransactions[[#This Row],[Debit (SAR)]]</f>
        <v>10046.74</v>
      </c>
      <c r="H745" s="6">
        <f>Opening+SUM(INDEX(BankTransactions[Net (SAR)],1):BankTransactions[[#This Row],[Net (SAR)]])</f>
        <v>2853352.54</v>
      </c>
    </row>
    <row r="746" spans="1:8" x14ac:dyDescent="0.2">
      <c r="A746" s="5" t="s">
        <v>1108</v>
      </c>
      <c r="B746" s="4">
        <v>46273</v>
      </c>
      <c r="C746" s="2" t="s">
        <v>1109</v>
      </c>
      <c r="D746" s="12">
        <v>6373.9</v>
      </c>
      <c r="E746" s="13">
        <v>0</v>
      </c>
      <c r="F746" s="19" t="str" cm="1">
        <f t="array" ref="F746">IFERROR(LOOKUP(2^15,SEARCH(CategoryMap[Keyword],BankTransactions[[#This Row],[Description]]),CategoryMap[Category]),"Other")</f>
        <v>Customer Receipts</v>
      </c>
      <c r="G746" s="6">
        <f>BankTransactions[[#This Row],[Credit (SAR)]]-BankTransactions[[#This Row],[Debit (SAR)]]</f>
        <v>6373.9</v>
      </c>
      <c r="H746" s="6">
        <f>Opening+SUM(INDEX(BankTransactions[Net (SAR)],1):BankTransactions[[#This Row],[Net (SAR)]])</f>
        <v>2859726.4400000004</v>
      </c>
    </row>
    <row r="747" spans="1:8" x14ac:dyDescent="0.2">
      <c r="A747" s="5" t="s">
        <v>1110</v>
      </c>
      <c r="B747" s="4">
        <v>46273</v>
      </c>
      <c r="C747" s="2" t="s">
        <v>12</v>
      </c>
      <c r="D747" s="12">
        <v>93037.69</v>
      </c>
      <c r="E747" s="13">
        <v>0</v>
      </c>
      <c r="F747" s="19" t="str" cm="1">
        <f t="array" ref="F747">IFERROR(LOOKUP(2^15,SEARCH(CategoryMap[Keyword],BankTransactions[[#This Row],[Description]]),CategoryMap[Category]),"Other")</f>
        <v>Cash Deposits</v>
      </c>
      <c r="G747" s="6">
        <f>BankTransactions[[#This Row],[Credit (SAR)]]-BankTransactions[[#This Row],[Debit (SAR)]]</f>
        <v>93037.69</v>
      </c>
      <c r="H747" s="6">
        <f>Opening+SUM(INDEX(BankTransactions[Net (SAR)],1):BankTransactions[[#This Row],[Net (SAR)]])</f>
        <v>2952764.1300000004</v>
      </c>
    </row>
    <row r="748" spans="1:8" x14ac:dyDescent="0.2">
      <c r="A748" s="5" t="s">
        <v>1111</v>
      </c>
      <c r="B748" s="4">
        <v>46274</v>
      </c>
      <c r="C748" s="2" t="s">
        <v>1112</v>
      </c>
      <c r="D748" s="12">
        <v>24192.86</v>
      </c>
      <c r="E748" s="13">
        <v>0</v>
      </c>
      <c r="F748" s="19" t="str" cm="1">
        <f t="array" ref="F748">IFERROR(LOOKUP(2^15,SEARCH(CategoryMap[Keyword],BankTransactions[[#This Row],[Description]]),CategoryMap[Category]),"Other")</f>
        <v>Customer Receipts</v>
      </c>
      <c r="G748" s="6">
        <f>BankTransactions[[#This Row],[Credit (SAR)]]-BankTransactions[[#This Row],[Debit (SAR)]]</f>
        <v>24192.86</v>
      </c>
      <c r="H748" s="6">
        <f>Opening+SUM(INDEX(BankTransactions[Net (SAR)],1):BankTransactions[[#This Row],[Net (SAR)]])</f>
        <v>2976956.99</v>
      </c>
    </row>
    <row r="749" spans="1:8" x14ac:dyDescent="0.2">
      <c r="A749" s="5" t="s">
        <v>1113</v>
      </c>
      <c r="B749" s="4">
        <v>46274</v>
      </c>
      <c r="C749" s="2" t="s">
        <v>1114</v>
      </c>
      <c r="D749" s="12">
        <v>4207.55</v>
      </c>
      <c r="E749" s="13">
        <v>0</v>
      </c>
      <c r="F749" s="19" t="str" cm="1">
        <f t="array" ref="F749">IFERROR(LOOKUP(2^15,SEARCH(CategoryMap[Keyword],BankTransactions[[#This Row],[Description]]),CategoryMap[Category]),"Other")</f>
        <v>Customer Receipts</v>
      </c>
      <c r="G749" s="6">
        <f>BankTransactions[[#This Row],[Credit (SAR)]]-BankTransactions[[#This Row],[Debit (SAR)]]</f>
        <v>4207.55</v>
      </c>
      <c r="H749" s="6">
        <f>Opening+SUM(INDEX(BankTransactions[Net (SAR)],1):BankTransactions[[#This Row],[Net (SAR)]])</f>
        <v>2981164.54</v>
      </c>
    </row>
    <row r="750" spans="1:8" x14ac:dyDescent="0.2">
      <c r="A750" s="5" t="s">
        <v>1115</v>
      </c>
      <c r="B750" s="4">
        <v>46274</v>
      </c>
      <c r="C750" s="2" t="s">
        <v>1116</v>
      </c>
      <c r="D750" s="12">
        <v>6491.61</v>
      </c>
      <c r="E750" s="13">
        <v>0</v>
      </c>
      <c r="F750" s="19" t="str" cm="1">
        <f t="array" ref="F750">IFERROR(LOOKUP(2^15,SEARCH(CategoryMap[Keyword],BankTransactions[[#This Row],[Description]]),CategoryMap[Category]),"Other")</f>
        <v>Customer Receipts</v>
      </c>
      <c r="G750" s="6">
        <f>BankTransactions[[#This Row],[Credit (SAR)]]-BankTransactions[[#This Row],[Debit (SAR)]]</f>
        <v>6491.61</v>
      </c>
      <c r="H750" s="6">
        <f>Opening+SUM(INDEX(BankTransactions[Net (SAR)],1):BankTransactions[[#This Row],[Net (SAR)]])</f>
        <v>2987656.1500000004</v>
      </c>
    </row>
    <row r="751" spans="1:8" x14ac:dyDescent="0.2">
      <c r="A751" s="5" t="s">
        <v>1117</v>
      </c>
      <c r="B751" s="4">
        <v>46275</v>
      </c>
      <c r="C751" s="2" t="s">
        <v>1118</v>
      </c>
      <c r="D751" s="12">
        <v>3246.77</v>
      </c>
      <c r="E751" s="13">
        <v>0</v>
      </c>
      <c r="F751" s="19" t="str" cm="1">
        <f t="array" ref="F751">IFERROR(LOOKUP(2^15,SEARCH(CategoryMap[Keyword],BankTransactions[[#This Row],[Description]]),CategoryMap[Category]),"Other")</f>
        <v>Customer Receipts</v>
      </c>
      <c r="G751" s="6">
        <f>BankTransactions[[#This Row],[Credit (SAR)]]-BankTransactions[[#This Row],[Debit (SAR)]]</f>
        <v>3246.77</v>
      </c>
      <c r="H751" s="6">
        <f>Opening+SUM(INDEX(BankTransactions[Net (SAR)],1):BankTransactions[[#This Row],[Net (SAR)]])</f>
        <v>2990902.9200000004</v>
      </c>
    </row>
    <row r="752" spans="1:8" x14ac:dyDescent="0.2">
      <c r="A752" s="5" t="s">
        <v>1119</v>
      </c>
      <c r="B752" s="4">
        <v>46275</v>
      </c>
      <c r="C752" s="2" t="s">
        <v>1120</v>
      </c>
      <c r="D752" s="12">
        <v>727.77</v>
      </c>
      <c r="E752" s="13">
        <v>0</v>
      </c>
      <c r="F752" s="19" t="str" cm="1">
        <f t="array" ref="F752">IFERROR(LOOKUP(2^15,SEARCH(CategoryMap[Keyword],BankTransactions[[#This Row],[Description]]),CategoryMap[Category]),"Other")</f>
        <v>Customer Receipts</v>
      </c>
      <c r="G752" s="6">
        <f>BankTransactions[[#This Row],[Credit (SAR)]]-BankTransactions[[#This Row],[Debit (SAR)]]</f>
        <v>727.77</v>
      </c>
      <c r="H752" s="6">
        <f>Opening+SUM(INDEX(BankTransactions[Net (SAR)],1):BankTransactions[[#This Row],[Net (SAR)]])</f>
        <v>2991630.6900000004</v>
      </c>
    </row>
    <row r="753" spans="1:8" x14ac:dyDescent="0.2">
      <c r="A753" s="5" t="s">
        <v>1121</v>
      </c>
      <c r="B753" s="4">
        <v>46275</v>
      </c>
      <c r="C753" s="2" t="s">
        <v>186</v>
      </c>
      <c r="D753" s="12">
        <v>3164.8</v>
      </c>
      <c r="E753" s="13">
        <v>0</v>
      </c>
      <c r="F753" s="19" t="str" cm="1">
        <f t="array" ref="F753">IFERROR(LOOKUP(2^15,SEARCH(CategoryMap[Keyword],BankTransactions[[#This Row],[Description]]),CategoryMap[Category]),"Other")</f>
        <v>Customer Receipts</v>
      </c>
      <c r="G753" s="6">
        <f>BankTransactions[[#This Row],[Credit (SAR)]]-BankTransactions[[#This Row],[Debit (SAR)]]</f>
        <v>3164.8</v>
      </c>
      <c r="H753" s="6">
        <f>Opening+SUM(INDEX(BankTransactions[Net (SAR)],1):BankTransactions[[#This Row],[Net (SAR)]])</f>
        <v>2994795.49</v>
      </c>
    </row>
    <row r="754" spans="1:8" x14ac:dyDescent="0.2">
      <c r="A754" s="5" t="s">
        <v>1122</v>
      </c>
      <c r="B754" s="4">
        <v>46276</v>
      </c>
      <c r="C754" s="2" t="s">
        <v>1123</v>
      </c>
      <c r="D754" s="12">
        <v>1592.17</v>
      </c>
      <c r="E754" s="13">
        <v>0</v>
      </c>
      <c r="F754" s="19" t="str" cm="1">
        <f t="array" ref="F754">IFERROR(LOOKUP(2^15,SEARCH(CategoryMap[Keyword],BankTransactions[[#This Row],[Description]]),CategoryMap[Category]),"Other")</f>
        <v>Customer Receipts</v>
      </c>
      <c r="G754" s="6">
        <f>BankTransactions[[#This Row],[Credit (SAR)]]-BankTransactions[[#This Row],[Debit (SAR)]]</f>
        <v>1592.17</v>
      </c>
      <c r="H754" s="6">
        <f>Opening+SUM(INDEX(BankTransactions[Net (SAR)],1):BankTransactions[[#This Row],[Net (SAR)]])</f>
        <v>2996387.66</v>
      </c>
    </row>
    <row r="755" spans="1:8" x14ac:dyDescent="0.2">
      <c r="A755" s="5" t="s">
        <v>1124</v>
      </c>
      <c r="B755" s="4">
        <v>46276</v>
      </c>
      <c r="C755" s="2" t="s">
        <v>1125</v>
      </c>
      <c r="D755" s="12">
        <v>16277.82</v>
      </c>
      <c r="E755" s="13">
        <v>0</v>
      </c>
      <c r="F755" s="19" t="str" cm="1">
        <f t="array" ref="F755">IFERROR(LOOKUP(2^15,SEARCH(CategoryMap[Keyword],BankTransactions[[#This Row],[Description]]),CategoryMap[Category]),"Other")</f>
        <v>Customer Receipts</v>
      </c>
      <c r="G755" s="6">
        <f>BankTransactions[[#This Row],[Credit (SAR)]]-BankTransactions[[#This Row],[Debit (SAR)]]</f>
        <v>16277.82</v>
      </c>
      <c r="H755" s="6">
        <f>Opening+SUM(INDEX(BankTransactions[Net (SAR)],1):BankTransactions[[#This Row],[Net (SAR)]])</f>
        <v>3012665.4800000004</v>
      </c>
    </row>
    <row r="756" spans="1:8" x14ac:dyDescent="0.2">
      <c r="A756" s="5" t="s">
        <v>1126</v>
      </c>
      <c r="B756" s="4">
        <v>46276</v>
      </c>
      <c r="C756" s="2" t="s">
        <v>1127</v>
      </c>
      <c r="D756" s="12">
        <v>9368.7900000000009</v>
      </c>
      <c r="E756" s="13">
        <v>0</v>
      </c>
      <c r="F756" s="19" t="str" cm="1">
        <f t="array" ref="F756">IFERROR(LOOKUP(2^15,SEARCH(CategoryMap[Keyword],BankTransactions[[#This Row],[Description]]),CategoryMap[Category]),"Other")</f>
        <v>Customer Receipts</v>
      </c>
      <c r="G756" s="6">
        <f>BankTransactions[[#This Row],[Credit (SAR)]]-BankTransactions[[#This Row],[Debit (SAR)]]</f>
        <v>9368.7900000000009</v>
      </c>
      <c r="H756" s="6">
        <f>Opening+SUM(INDEX(BankTransactions[Net (SAR)],1):BankTransactions[[#This Row],[Net (SAR)]])</f>
        <v>3022034.2700000005</v>
      </c>
    </row>
    <row r="757" spans="1:8" x14ac:dyDescent="0.2">
      <c r="A757" s="5" t="s">
        <v>1128</v>
      </c>
      <c r="B757" s="4">
        <v>46276</v>
      </c>
      <c r="C757" s="2" t="s">
        <v>10</v>
      </c>
      <c r="D757" s="12">
        <v>0</v>
      </c>
      <c r="E757" s="13">
        <v>118415.24</v>
      </c>
      <c r="F757" s="19" t="str" cm="1">
        <f t="array" ref="F757">IFERROR(LOOKUP(2^15,SEARCH(CategoryMap[Keyword],BankTransactions[[#This Row],[Description]]),CategoryMap[Category]),"Other")</f>
        <v>Fuel &amp; Logistics</v>
      </c>
      <c r="G757" s="6">
        <f>BankTransactions[[#This Row],[Credit (SAR)]]-BankTransactions[[#This Row],[Debit (SAR)]]</f>
        <v>-118415.24</v>
      </c>
      <c r="H757" s="6">
        <f>Opening+SUM(INDEX(BankTransactions[Net (SAR)],1):BankTransactions[[#This Row],[Net (SAR)]])</f>
        <v>2903619.0300000003</v>
      </c>
    </row>
    <row r="758" spans="1:8" x14ac:dyDescent="0.2">
      <c r="A758" s="5" t="s">
        <v>1129</v>
      </c>
      <c r="B758" s="4">
        <v>46276</v>
      </c>
      <c r="C758" s="2" t="s">
        <v>7</v>
      </c>
      <c r="D758" s="12">
        <v>0</v>
      </c>
      <c r="E758" s="13">
        <v>19528.07</v>
      </c>
      <c r="F758" s="19" t="str" cm="1">
        <f t="array" ref="F758">IFERROR(LOOKUP(2^15,SEARCH(CategoryMap[Keyword],BankTransactions[[#This Row],[Description]]),CategoryMap[Category]),"Other")</f>
        <v>Supplier Payments</v>
      </c>
      <c r="G758" s="6">
        <f>BankTransactions[[#This Row],[Credit (SAR)]]-BankTransactions[[#This Row],[Debit (SAR)]]</f>
        <v>-19528.07</v>
      </c>
      <c r="H758" s="6">
        <f>Opening+SUM(INDEX(BankTransactions[Net (SAR)],1):BankTransactions[[#This Row],[Net (SAR)]])</f>
        <v>2884090.9600000004</v>
      </c>
    </row>
    <row r="759" spans="1:8" x14ac:dyDescent="0.2">
      <c r="A759" s="5" t="s">
        <v>1130</v>
      </c>
      <c r="B759" s="4">
        <v>46276</v>
      </c>
      <c r="C759" s="2" t="s">
        <v>10</v>
      </c>
      <c r="D759" s="12">
        <v>0</v>
      </c>
      <c r="E759" s="13">
        <v>17144.490000000002</v>
      </c>
      <c r="F759" s="19" t="str" cm="1">
        <f t="array" ref="F759">IFERROR(LOOKUP(2^15,SEARCH(CategoryMap[Keyword],BankTransactions[[#This Row],[Description]]),CategoryMap[Category]),"Other")</f>
        <v>Fuel &amp; Logistics</v>
      </c>
      <c r="G759" s="6">
        <f>BankTransactions[[#This Row],[Credit (SAR)]]-BankTransactions[[#This Row],[Debit (SAR)]]</f>
        <v>-17144.490000000002</v>
      </c>
      <c r="H759" s="6">
        <f>Opening+SUM(INDEX(BankTransactions[Net (SAR)],1):BankTransactions[[#This Row],[Net (SAR)]])</f>
        <v>2866946.47</v>
      </c>
    </row>
    <row r="760" spans="1:8" x14ac:dyDescent="0.2">
      <c r="A760" s="5" t="s">
        <v>1131</v>
      </c>
      <c r="B760" s="4">
        <v>46277</v>
      </c>
      <c r="C760" s="2" t="s">
        <v>207</v>
      </c>
      <c r="D760" s="12">
        <v>13128.79</v>
      </c>
      <c r="E760" s="13">
        <v>0</v>
      </c>
      <c r="F760" s="19" t="str" cm="1">
        <f t="array" ref="F760">IFERROR(LOOKUP(2^15,SEARCH(CategoryMap[Keyword],BankTransactions[[#This Row],[Description]]),CategoryMap[Category]),"Other")</f>
        <v>Customer Receipts</v>
      </c>
      <c r="G760" s="6">
        <f>BankTransactions[[#This Row],[Credit (SAR)]]-BankTransactions[[#This Row],[Debit (SAR)]]</f>
        <v>13128.79</v>
      </c>
      <c r="H760" s="6">
        <f>Opening+SUM(INDEX(BankTransactions[Net (SAR)],1):BankTransactions[[#This Row],[Net (SAR)]])</f>
        <v>2880075.2600000002</v>
      </c>
    </row>
    <row r="761" spans="1:8" x14ac:dyDescent="0.2">
      <c r="A761" s="5" t="s">
        <v>1132</v>
      </c>
      <c r="B761" s="4">
        <v>46278</v>
      </c>
      <c r="C761" s="2" t="s">
        <v>7</v>
      </c>
      <c r="D761" s="12">
        <v>0</v>
      </c>
      <c r="E761" s="13">
        <v>17202.68</v>
      </c>
      <c r="F761" s="19" t="str" cm="1">
        <f t="array" ref="F761">IFERROR(LOOKUP(2^15,SEARCH(CategoryMap[Keyword],BankTransactions[[#This Row],[Description]]),CategoryMap[Category]),"Other")</f>
        <v>Supplier Payments</v>
      </c>
      <c r="G761" s="6">
        <f>BankTransactions[[#This Row],[Credit (SAR)]]-BankTransactions[[#This Row],[Debit (SAR)]]</f>
        <v>-17202.68</v>
      </c>
      <c r="H761" s="6">
        <f>Opening+SUM(INDEX(BankTransactions[Net (SAR)],1):BankTransactions[[#This Row],[Net (SAR)]])</f>
        <v>2862872.58</v>
      </c>
    </row>
    <row r="762" spans="1:8" x14ac:dyDescent="0.2">
      <c r="A762" s="5" t="s">
        <v>1133</v>
      </c>
      <c r="B762" s="4">
        <v>46278</v>
      </c>
      <c r="C762" s="2" t="s">
        <v>3</v>
      </c>
      <c r="D762" s="12">
        <v>0</v>
      </c>
      <c r="E762" s="13">
        <v>6666.72</v>
      </c>
      <c r="F762" s="19" t="str" cm="1">
        <f t="array" ref="F762">IFERROR(LOOKUP(2^15,SEARCH(CategoryMap[Keyword],BankTransactions[[#This Row],[Description]]),CategoryMap[Category]),"Other")</f>
        <v>Supplier Payments</v>
      </c>
      <c r="G762" s="6">
        <f>BankTransactions[[#This Row],[Credit (SAR)]]-BankTransactions[[#This Row],[Debit (SAR)]]</f>
        <v>-6666.72</v>
      </c>
      <c r="H762" s="6">
        <f>Opening+SUM(INDEX(BankTransactions[Net (SAR)],1):BankTransactions[[#This Row],[Net (SAR)]])</f>
        <v>2856205.8600000003</v>
      </c>
    </row>
    <row r="763" spans="1:8" x14ac:dyDescent="0.2">
      <c r="A763" s="5" t="s">
        <v>1134</v>
      </c>
      <c r="B763" s="4">
        <v>46279</v>
      </c>
      <c r="C763" s="2" t="s">
        <v>7</v>
      </c>
      <c r="D763" s="12">
        <v>0</v>
      </c>
      <c r="E763" s="13">
        <v>6857.48</v>
      </c>
      <c r="F763" s="19" t="str" cm="1">
        <f t="array" ref="F763">IFERROR(LOOKUP(2^15,SEARCH(CategoryMap[Keyword],BankTransactions[[#This Row],[Description]]),CategoryMap[Category]),"Other")</f>
        <v>Supplier Payments</v>
      </c>
      <c r="G763" s="6">
        <f>BankTransactions[[#This Row],[Credit (SAR)]]-BankTransactions[[#This Row],[Debit (SAR)]]</f>
        <v>-6857.48</v>
      </c>
      <c r="H763" s="6">
        <f>Opening+SUM(INDEX(BankTransactions[Net (SAR)],1):BankTransactions[[#This Row],[Net (SAR)]])</f>
        <v>2849348.3800000004</v>
      </c>
    </row>
    <row r="764" spans="1:8" x14ac:dyDescent="0.2">
      <c r="A764" s="5" t="s">
        <v>1135</v>
      </c>
      <c r="B764" s="4">
        <v>46279</v>
      </c>
      <c r="C764" s="2" t="s">
        <v>12</v>
      </c>
      <c r="D764" s="12">
        <v>23837.759999999998</v>
      </c>
      <c r="E764" s="13">
        <v>0</v>
      </c>
      <c r="F764" s="19" t="str" cm="1">
        <f t="array" ref="F764">IFERROR(LOOKUP(2^15,SEARCH(CategoryMap[Keyword],BankTransactions[[#This Row],[Description]]),CategoryMap[Category]),"Other")</f>
        <v>Cash Deposits</v>
      </c>
      <c r="G764" s="6">
        <f>BankTransactions[[#This Row],[Credit (SAR)]]-BankTransactions[[#This Row],[Debit (SAR)]]</f>
        <v>23837.759999999998</v>
      </c>
      <c r="H764" s="6">
        <f>Opening+SUM(INDEX(BankTransactions[Net (SAR)],1):BankTransactions[[#This Row],[Net (SAR)]])</f>
        <v>2873186.14</v>
      </c>
    </row>
    <row r="765" spans="1:8" x14ac:dyDescent="0.2">
      <c r="A765" s="5" t="s">
        <v>1136</v>
      </c>
      <c r="B765" s="4">
        <v>46280</v>
      </c>
      <c r="C765" s="2" t="s">
        <v>1137</v>
      </c>
      <c r="D765" s="12">
        <v>11437.28</v>
      </c>
      <c r="E765" s="13">
        <v>0</v>
      </c>
      <c r="F765" s="19" t="str" cm="1">
        <f t="array" ref="F765">IFERROR(LOOKUP(2^15,SEARCH(CategoryMap[Keyword],BankTransactions[[#This Row],[Description]]),CategoryMap[Category]),"Other")</f>
        <v>Customer Receipts</v>
      </c>
      <c r="G765" s="6">
        <f>BankTransactions[[#This Row],[Credit (SAR)]]-BankTransactions[[#This Row],[Debit (SAR)]]</f>
        <v>11437.28</v>
      </c>
      <c r="H765" s="6">
        <f>Opening+SUM(INDEX(BankTransactions[Net (SAR)],1):BankTransactions[[#This Row],[Net (SAR)]])</f>
        <v>2884623.4200000004</v>
      </c>
    </row>
    <row r="766" spans="1:8" x14ac:dyDescent="0.2">
      <c r="A766" s="5" t="s">
        <v>1138</v>
      </c>
      <c r="B766" s="4">
        <v>46280</v>
      </c>
      <c r="C766" s="2" t="s">
        <v>171</v>
      </c>
      <c r="D766" s="12">
        <v>3088.65</v>
      </c>
      <c r="E766" s="13">
        <v>0</v>
      </c>
      <c r="F766" s="19" t="str" cm="1">
        <f t="array" ref="F766">IFERROR(LOOKUP(2^15,SEARCH(CategoryMap[Keyword],BankTransactions[[#This Row],[Description]]),CategoryMap[Category]),"Other")</f>
        <v>Customer Receipts</v>
      </c>
      <c r="G766" s="6">
        <f>BankTransactions[[#This Row],[Credit (SAR)]]-BankTransactions[[#This Row],[Debit (SAR)]]</f>
        <v>3088.65</v>
      </c>
      <c r="H766" s="6">
        <f>Opening+SUM(INDEX(BankTransactions[Net (SAR)],1):BankTransactions[[#This Row],[Net (SAR)]])</f>
        <v>2887712.0700000003</v>
      </c>
    </row>
    <row r="767" spans="1:8" x14ac:dyDescent="0.2">
      <c r="A767" s="5" t="s">
        <v>1139</v>
      </c>
      <c r="B767" s="4">
        <v>46281</v>
      </c>
      <c r="C767" s="2" t="s">
        <v>1140</v>
      </c>
      <c r="D767" s="12">
        <v>2136.29</v>
      </c>
      <c r="E767" s="13">
        <v>0</v>
      </c>
      <c r="F767" s="19" t="str" cm="1">
        <f t="array" ref="F767">IFERROR(LOOKUP(2^15,SEARCH(CategoryMap[Keyword],BankTransactions[[#This Row],[Description]]),CategoryMap[Category]),"Other")</f>
        <v>Customer Receipts</v>
      </c>
      <c r="G767" s="6">
        <f>BankTransactions[[#This Row],[Credit (SAR)]]-BankTransactions[[#This Row],[Debit (SAR)]]</f>
        <v>2136.29</v>
      </c>
      <c r="H767" s="6">
        <f>Opening+SUM(INDEX(BankTransactions[Net (SAR)],1):BankTransactions[[#This Row],[Net (SAR)]])</f>
        <v>2889848.3600000003</v>
      </c>
    </row>
    <row r="768" spans="1:8" x14ac:dyDescent="0.2">
      <c r="A768" s="5" t="s">
        <v>1141</v>
      </c>
      <c r="B768" s="4">
        <v>46281</v>
      </c>
      <c r="C768" s="2" t="s">
        <v>3</v>
      </c>
      <c r="D768" s="12">
        <v>0</v>
      </c>
      <c r="E768" s="13">
        <v>48773.05</v>
      </c>
      <c r="F768" s="19" t="str" cm="1">
        <f t="array" ref="F768">IFERROR(LOOKUP(2^15,SEARCH(CategoryMap[Keyword],BankTransactions[[#This Row],[Description]]),CategoryMap[Category]),"Other")</f>
        <v>Supplier Payments</v>
      </c>
      <c r="G768" s="6">
        <f>BankTransactions[[#This Row],[Credit (SAR)]]-BankTransactions[[#This Row],[Debit (SAR)]]</f>
        <v>-48773.05</v>
      </c>
      <c r="H768" s="6">
        <f>Opening+SUM(INDEX(BankTransactions[Net (SAR)],1):BankTransactions[[#This Row],[Net (SAR)]])</f>
        <v>2841075.3100000005</v>
      </c>
    </row>
    <row r="769" spans="1:8" x14ac:dyDescent="0.2">
      <c r="A769" s="5" t="s">
        <v>1142</v>
      </c>
      <c r="B769" s="4">
        <v>46282</v>
      </c>
      <c r="C769" s="2" t="s">
        <v>1143</v>
      </c>
      <c r="D769" s="12">
        <v>14553.25</v>
      </c>
      <c r="E769" s="13">
        <v>0</v>
      </c>
      <c r="F769" s="19" t="str" cm="1">
        <f t="array" ref="F769">IFERROR(LOOKUP(2^15,SEARCH(CategoryMap[Keyword],BankTransactions[[#This Row],[Description]]),CategoryMap[Category]),"Other")</f>
        <v>Customer Receipts</v>
      </c>
      <c r="G769" s="6">
        <f>BankTransactions[[#This Row],[Credit (SAR)]]-BankTransactions[[#This Row],[Debit (SAR)]]</f>
        <v>14553.25</v>
      </c>
      <c r="H769" s="6">
        <f>Opening+SUM(INDEX(BankTransactions[Net (SAR)],1):BankTransactions[[#This Row],[Net (SAR)]])</f>
        <v>2855628.5600000005</v>
      </c>
    </row>
    <row r="770" spans="1:8" x14ac:dyDescent="0.2">
      <c r="A770" s="5" t="s">
        <v>1144</v>
      </c>
      <c r="B770" s="4">
        <v>46282</v>
      </c>
      <c r="C770" s="2" t="s">
        <v>190</v>
      </c>
      <c r="D770" s="12">
        <v>3659.84</v>
      </c>
      <c r="E770" s="13">
        <v>0</v>
      </c>
      <c r="F770" s="19" t="str" cm="1">
        <f t="array" ref="F770">IFERROR(LOOKUP(2^15,SEARCH(CategoryMap[Keyword],BankTransactions[[#This Row],[Description]]),CategoryMap[Category]),"Other")</f>
        <v>Customer Receipts</v>
      </c>
      <c r="G770" s="6">
        <f>BankTransactions[[#This Row],[Credit (SAR)]]-BankTransactions[[#This Row],[Debit (SAR)]]</f>
        <v>3659.84</v>
      </c>
      <c r="H770" s="6">
        <f>Opening+SUM(INDEX(BankTransactions[Net (SAR)],1):BankTransactions[[#This Row],[Net (SAR)]])</f>
        <v>2859288.4000000004</v>
      </c>
    </row>
    <row r="771" spans="1:8" x14ac:dyDescent="0.2">
      <c r="A771" s="5" t="s">
        <v>1145</v>
      </c>
      <c r="B771" s="4">
        <v>46282</v>
      </c>
      <c r="C771" s="2" t="s">
        <v>12</v>
      </c>
      <c r="D771" s="12">
        <v>32556.28</v>
      </c>
      <c r="E771" s="13">
        <v>0</v>
      </c>
      <c r="F771" s="19" t="str" cm="1">
        <f t="array" ref="F771">IFERROR(LOOKUP(2^15,SEARCH(CategoryMap[Keyword],BankTransactions[[#This Row],[Description]]),CategoryMap[Category]),"Other")</f>
        <v>Cash Deposits</v>
      </c>
      <c r="G771" s="6">
        <f>BankTransactions[[#This Row],[Credit (SAR)]]-BankTransactions[[#This Row],[Debit (SAR)]]</f>
        <v>32556.28</v>
      </c>
      <c r="H771" s="6">
        <f>Opening+SUM(INDEX(BankTransactions[Net (SAR)],1):BankTransactions[[#This Row],[Net (SAR)]])</f>
        <v>2891844.6800000006</v>
      </c>
    </row>
    <row r="772" spans="1:8" x14ac:dyDescent="0.2">
      <c r="A772" s="5" t="s">
        <v>1146</v>
      </c>
      <c r="B772" s="4">
        <v>46283</v>
      </c>
      <c r="C772" s="2" t="s">
        <v>1147</v>
      </c>
      <c r="D772" s="12">
        <v>11614.3</v>
      </c>
      <c r="E772" s="13">
        <v>0</v>
      </c>
      <c r="F772" s="19" t="str" cm="1">
        <f t="array" ref="F772">IFERROR(LOOKUP(2^15,SEARCH(CategoryMap[Keyword],BankTransactions[[#This Row],[Description]]),CategoryMap[Category]),"Other")</f>
        <v>Customer Receipts</v>
      </c>
      <c r="G772" s="6">
        <f>BankTransactions[[#This Row],[Credit (SAR)]]-BankTransactions[[#This Row],[Debit (SAR)]]</f>
        <v>11614.3</v>
      </c>
      <c r="H772" s="6">
        <f>Opening+SUM(INDEX(BankTransactions[Net (SAR)],1):BankTransactions[[#This Row],[Net (SAR)]])</f>
        <v>2903458.9800000004</v>
      </c>
    </row>
    <row r="773" spans="1:8" x14ac:dyDescent="0.2">
      <c r="A773" s="5" t="s">
        <v>1148</v>
      </c>
      <c r="B773" s="4">
        <v>46283</v>
      </c>
      <c r="C773" s="2" t="s">
        <v>1149</v>
      </c>
      <c r="D773" s="12">
        <v>10910.11</v>
      </c>
      <c r="E773" s="13">
        <v>0</v>
      </c>
      <c r="F773" s="19" t="str" cm="1">
        <f t="array" ref="F773">IFERROR(LOOKUP(2^15,SEARCH(CategoryMap[Keyword],BankTransactions[[#This Row],[Description]]),CategoryMap[Category]),"Other")</f>
        <v>Customer Receipts</v>
      </c>
      <c r="G773" s="6">
        <f>BankTransactions[[#This Row],[Credit (SAR)]]-BankTransactions[[#This Row],[Debit (SAR)]]</f>
        <v>10910.11</v>
      </c>
      <c r="H773" s="6">
        <f>Opening+SUM(INDEX(BankTransactions[Net (SAR)],1):BankTransactions[[#This Row],[Net (SAR)]])</f>
        <v>2914369.0900000003</v>
      </c>
    </row>
    <row r="774" spans="1:8" x14ac:dyDescent="0.2">
      <c r="A774" s="5" t="s">
        <v>1150</v>
      </c>
      <c r="B774" s="4">
        <v>46283</v>
      </c>
      <c r="C774" s="2" t="s">
        <v>10</v>
      </c>
      <c r="D774" s="12">
        <v>8344.4599999999991</v>
      </c>
      <c r="E774" s="13">
        <v>31548.42</v>
      </c>
      <c r="F774" s="19" t="str" cm="1">
        <f t="array" ref="F774">IFERROR(LOOKUP(2^15,SEARCH(CategoryMap[Keyword],BankTransactions[[#This Row],[Description]]),CategoryMap[Category]),"Other")</f>
        <v>Fuel &amp; Logistics</v>
      </c>
      <c r="G774" s="6">
        <f>BankTransactions[[#This Row],[Credit (SAR)]]-BankTransactions[[#This Row],[Debit (SAR)]]</f>
        <v>-23203.96</v>
      </c>
      <c r="H774" s="6">
        <f>Opening+SUM(INDEX(BankTransactions[Net (SAR)],1):BankTransactions[[#This Row],[Net (SAR)]])</f>
        <v>2891165.1300000004</v>
      </c>
    </row>
    <row r="775" spans="1:8" x14ac:dyDescent="0.2">
      <c r="A775" s="5" t="s">
        <v>1151</v>
      </c>
      <c r="B775" s="4">
        <v>46283</v>
      </c>
      <c r="C775" s="2" t="s">
        <v>10</v>
      </c>
      <c r="D775" s="12">
        <v>0</v>
      </c>
      <c r="E775" s="13">
        <v>20487.060000000001</v>
      </c>
      <c r="F775" s="19" t="str" cm="1">
        <f t="array" ref="F775">IFERROR(LOOKUP(2^15,SEARCH(CategoryMap[Keyword],BankTransactions[[#This Row],[Description]]),CategoryMap[Category]),"Other")</f>
        <v>Fuel &amp; Logistics</v>
      </c>
      <c r="G775" s="6">
        <f>BankTransactions[[#This Row],[Credit (SAR)]]-BankTransactions[[#This Row],[Debit (SAR)]]</f>
        <v>-20487.060000000001</v>
      </c>
      <c r="H775" s="6">
        <f>Opening+SUM(INDEX(BankTransactions[Net (SAR)],1):BankTransactions[[#This Row],[Net (SAR)]])</f>
        <v>2870678.0700000003</v>
      </c>
    </row>
    <row r="776" spans="1:8" x14ac:dyDescent="0.2">
      <c r="A776" s="5" t="s">
        <v>1152</v>
      </c>
      <c r="B776" s="4">
        <v>46284</v>
      </c>
      <c r="C776" s="2" t="s">
        <v>1153</v>
      </c>
      <c r="D776" s="12">
        <v>7932.09</v>
      </c>
      <c r="E776" s="13">
        <v>0</v>
      </c>
      <c r="F776" s="19" t="str" cm="1">
        <f t="array" ref="F776">IFERROR(LOOKUP(2^15,SEARCH(CategoryMap[Keyword],BankTransactions[[#This Row],[Description]]),CategoryMap[Category]),"Other")</f>
        <v>Customer Receipts</v>
      </c>
      <c r="G776" s="6">
        <f>BankTransactions[[#This Row],[Credit (SAR)]]-BankTransactions[[#This Row],[Debit (SAR)]]</f>
        <v>7932.09</v>
      </c>
      <c r="H776" s="6">
        <f>Opening+SUM(INDEX(BankTransactions[Net (SAR)],1):BankTransactions[[#This Row],[Net (SAR)]])</f>
        <v>2878610.16</v>
      </c>
    </row>
    <row r="777" spans="1:8" x14ac:dyDescent="0.2">
      <c r="A777" s="5" t="s">
        <v>1154</v>
      </c>
      <c r="B777" s="4">
        <v>46284</v>
      </c>
      <c r="C777" s="2" t="s">
        <v>1155</v>
      </c>
      <c r="D777" s="12">
        <v>10116.01</v>
      </c>
      <c r="E777" s="13">
        <v>0</v>
      </c>
      <c r="F777" s="19" t="str" cm="1">
        <f t="array" ref="F777">IFERROR(LOOKUP(2^15,SEARCH(CategoryMap[Keyword],BankTransactions[[#This Row],[Description]]),CategoryMap[Category]),"Other")</f>
        <v>Customer Receipts</v>
      </c>
      <c r="G777" s="6">
        <f>BankTransactions[[#This Row],[Credit (SAR)]]-BankTransactions[[#This Row],[Debit (SAR)]]</f>
        <v>10116.01</v>
      </c>
      <c r="H777" s="6">
        <f>Opening+SUM(INDEX(BankTransactions[Net (SAR)],1):BankTransactions[[#This Row],[Net (SAR)]])</f>
        <v>2888726.1700000004</v>
      </c>
    </row>
    <row r="778" spans="1:8" x14ac:dyDescent="0.2">
      <c r="A778" s="5" t="s">
        <v>1156</v>
      </c>
      <c r="B778" s="4">
        <v>46285</v>
      </c>
      <c r="C778" s="2" t="s">
        <v>1157</v>
      </c>
      <c r="D778" s="12">
        <v>3761.16</v>
      </c>
      <c r="E778" s="13">
        <v>0</v>
      </c>
      <c r="F778" s="19" t="str" cm="1">
        <f t="array" ref="F778">IFERROR(LOOKUP(2^15,SEARCH(CategoryMap[Keyword],BankTransactions[[#This Row],[Description]]),CategoryMap[Category]),"Other")</f>
        <v>Customer Receipts</v>
      </c>
      <c r="G778" s="6">
        <f>BankTransactions[[#This Row],[Credit (SAR)]]-BankTransactions[[#This Row],[Debit (SAR)]]</f>
        <v>3761.16</v>
      </c>
      <c r="H778" s="6">
        <f>Opening+SUM(INDEX(BankTransactions[Net (SAR)],1):BankTransactions[[#This Row],[Net (SAR)]])</f>
        <v>2892487.3300000005</v>
      </c>
    </row>
    <row r="779" spans="1:8" x14ac:dyDescent="0.2">
      <c r="A779" s="5" t="s">
        <v>1158</v>
      </c>
      <c r="B779" s="4">
        <v>46285</v>
      </c>
      <c r="C779" s="2" t="s">
        <v>207</v>
      </c>
      <c r="D779" s="12">
        <v>8050.89</v>
      </c>
      <c r="E779" s="13">
        <v>0</v>
      </c>
      <c r="F779" s="19" t="str" cm="1">
        <f t="array" ref="F779">IFERROR(LOOKUP(2^15,SEARCH(CategoryMap[Keyword],BankTransactions[[#This Row],[Description]]),CategoryMap[Category]),"Other")</f>
        <v>Customer Receipts</v>
      </c>
      <c r="G779" s="6">
        <f>BankTransactions[[#This Row],[Credit (SAR)]]-BankTransactions[[#This Row],[Debit (SAR)]]</f>
        <v>8050.89</v>
      </c>
      <c r="H779" s="6">
        <f>Opening+SUM(INDEX(BankTransactions[Net (SAR)],1):BankTransactions[[#This Row],[Net (SAR)]])</f>
        <v>2900538.22</v>
      </c>
    </row>
    <row r="780" spans="1:8" x14ac:dyDescent="0.2">
      <c r="A780" s="5" t="s">
        <v>1159</v>
      </c>
      <c r="B780" s="4">
        <v>46285</v>
      </c>
      <c r="C780" s="2" t="s">
        <v>1160</v>
      </c>
      <c r="D780" s="12">
        <v>11468.28</v>
      </c>
      <c r="E780" s="13">
        <v>0</v>
      </c>
      <c r="F780" s="19" t="str" cm="1">
        <f t="array" ref="F780">IFERROR(LOOKUP(2^15,SEARCH(CategoryMap[Keyword],BankTransactions[[#This Row],[Description]]),CategoryMap[Category]),"Other")</f>
        <v>Customer Receipts</v>
      </c>
      <c r="G780" s="6">
        <f>BankTransactions[[#This Row],[Credit (SAR)]]-BankTransactions[[#This Row],[Debit (SAR)]]</f>
        <v>11468.28</v>
      </c>
      <c r="H780" s="6">
        <f>Opening+SUM(INDEX(BankTransactions[Net (SAR)],1):BankTransactions[[#This Row],[Net (SAR)]])</f>
        <v>2912006.5000000005</v>
      </c>
    </row>
    <row r="781" spans="1:8" x14ac:dyDescent="0.2">
      <c r="A781" s="5" t="s">
        <v>1161</v>
      </c>
      <c r="B781" s="4">
        <v>46286</v>
      </c>
      <c r="C781" s="2" t="s">
        <v>1162</v>
      </c>
      <c r="D781" s="12">
        <v>1365.56</v>
      </c>
      <c r="E781" s="13">
        <v>0</v>
      </c>
      <c r="F781" s="19" t="str" cm="1">
        <f t="array" ref="F781">IFERROR(LOOKUP(2^15,SEARCH(CategoryMap[Keyword],BankTransactions[[#This Row],[Description]]),CategoryMap[Category]),"Other")</f>
        <v>Customer Receipts</v>
      </c>
      <c r="G781" s="6">
        <f>BankTransactions[[#This Row],[Credit (SAR)]]-BankTransactions[[#This Row],[Debit (SAR)]]</f>
        <v>1365.56</v>
      </c>
      <c r="H781" s="6">
        <f>Opening+SUM(INDEX(BankTransactions[Net (SAR)],1):BankTransactions[[#This Row],[Net (SAR)]])</f>
        <v>2913372.0600000005</v>
      </c>
    </row>
    <row r="782" spans="1:8" x14ac:dyDescent="0.2">
      <c r="A782" s="5" t="s">
        <v>1163</v>
      </c>
      <c r="B782" s="4">
        <v>46286</v>
      </c>
      <c r="C782" s="2" t="s">
        <v>1164</v>
      </c>
      <c r="D782" s="12">
        <v>5878.36</v>
      </c>
      <c r="E782" s="13">
        <v>0</v>
      </c>
      <c r="F782" s="19" t="str" cm="1">
        <f t="array" ref="F782">IFERROR(LOOKUP(2^15,SEARCH(CategoryMap[Keyword],BankTransactions[[#This Row],[Description]]),CategoryMap[Category]),"Other")</f>
        <v>Customer Receipts</v>
      </c>
      <c r="G782" s="6">
        <f>BankTransactions[[#This Row],[Credit (SAR)]]-BankTransactions[[#This Row],[Debit (SAR)]]</f>
        <v>5878.36</v>
      </c>
      <c r="H782" s="6">
        <f>Opening+SUM(INDEX(BankTransactions[Net (SAR)],1):BankTransactions[[#This Row],[Net (SAR)]])</f>
        <v>2919250.4200000004</v>
      </c>
    </row>
    <row r="783" spans="1:8" x14ac:dyDescent="0.2">
      <c r="A783" s="5" t="s">
        <v>1165</v>
      </c>
      <c r="B783" s="4">
        <v>46286</v>
      </c>
      <c r="C783" s="2" t="s">
        <v>190</v>
      </c>
      <c r="D783" s="12">
        <v>6663.16</v>
      </c>
      <c r="E783" s="13">
        <v>0</v>
      </c>
      <c r="F783" s="19" t="str" cm="1">
        <f t="array" ref="F783">IFERROR(LOOKUP(2^15,SEARCH(CategoryMap[Keyword],BankTransactions[[#This Row],[Description]]),CategoryMap[Category]),"Other")</f>
        <v>Customer Receipts</v>
      </c>
      <c r="G783" s="6">
        <f>BankTransactions[[#This Row],[Credit (SAR)]]-BankTransactions[[#This Row],[Debit (SAR)]]</f>
        <v>6663.16</v>
      </c>
      <c r="H783" s="6">
        <f>Opening+SUM(INDEX(BankTransactions[Net (SAR)],1):BankTransactions[[#This Row],[Net (SAR)]])</f>
        <v>2925913.5800000005</v>
      </c>
    </row>
    <row r="784" spans="1:8" x14ac:dyDescent="0.2">
      <c r="A784" s="5" t="s">
        <v>1166</v>
      </c>
      <c r="B784" s="4">
        <v>46286</v>
      </c>
      <c r="C784" s="2" t="s">
        <v>10</v>
      </c>
      <c r="D784" s="12">
        <v>0</v>
      </c>
      <c r="E784" s="13">
        <v>8446.98</v>
      </c>
      <c r="F784" s="19" t="str" cm="1">
        <f t="array" ref="F784">IFERROR(LOOKUP(2^15,SEARCH(CategoryMap[Keyword],BankTransactions[[#This Row],[Description]]),CategoryMap[Category]),"Other")</f>
        <v>Fuel &amp; Logistics</v>
      </c>
      <c r="G784" s="6">
        <f>BankTransactions[[#This Row],[Credit (SAR)]]-BankTransactions[[#This Row],[Debit (SAR)]]</f>
        <v>-8446.98</v>
      </c>
      <c r="H784" s="6">
        <f>Opening+SUM(INDEX(BankTransactions[Net (SAR)],1):BankTransactions[[#This Row],[Net (SAR)]])</f>
        <v>2917466.6000000006</v>
      </c>
    </row>
    <row r="785" spans="1:8" x14ac:dyDescent="0.2">
      <c r="A785" s="5" t="s">
        <v>1167</v>
      </c>
      <c r="B785" s="4">
        <v>46286</v>
      </c>
      <c r="C785" s="2" t="s">
        <v>12</v>
      </c>
      <c r="D785" s="12">
        <v>19972.73</v>
      </c>
      <c r="E785" s="13">
        <v>0</v>
      </c>
      <c r="F785" s="19" t="str" cm="1">
        <f t="array" ref="F785">IFERROR(LOOKUP(2^15,SEARCH(CategoryMap[Keyword],BankTransactions[[#This Row],[Description]]),CategoryMap[Category]),"Other")</f>
        <v>Cash Deposits</v>
      </c>
      <c r="G785" s="6">
        <f>BankTransactions[[#This Row],[Credit (SAR)]]-BankTransactions[[#This Row],[Debit (SAR)]]</f>
        <v>19972.73</v>
      </c>
      <c r="H785" s="6">
        <f>Opening+SUM(INDEX(BankTransactions[Net (SAR)],1):BankTransactions[[#This Row],[Net (SAR)]])</f>
        <v>2937439.3300000005</v>
      </c>
    </row>
    <row r="786" spans="1:8" x14ac:dyDescent="0.2">
      <c r="A786" s="5" t="s">
        <v>1168</v>
      </c>
      <c r="B786" s="4">
        <v>46287</v>
      </c>
      <c r="C786" s="2" t="s">
        <v>1169</v>
      </c>
      <c r="D786" s="12">
        <v>4982.74</v>
      </c>
      <c r="E786" s="13">
        <v>0</v>
      </c>
      <c r="F786" s="19" t="str" cm="1">
        <f t="array" ref="F786">IFERROR(LOOKUP(2^15,SEARCH(CategoryMap[Keyword],BankTransactions[[#This Row],[Description]]),CategoryMap[Category]),"Other")</f>
        <v>Customer Receipts</v>
      </c>
      <c r="G786" s="6">
        <f>BankTransactions[[#This Row],[Credit (SAR)]]-BankTransactions[[#This Row],[Debit (SAR)]]</f>
        <v>4982.74</v>
      </c>
      <c r="H786" s="6">
        <f>Opening+SUM(INDEX(BankTransactions[Net (SAR)],1):BankTransactions[[#This Row],[Net (SAR)]])</f>
        <v>2942422.0700000003</v>
      </c>
    </row>
    <row r="787" spans="1:8" x14ac:dyDescent="0.2">
      <c r="A787" s="5" t="s">
        <v>1170</v>
      </c>
      <c r="B787" s="4">
        <v>46287</v>
      </c>
      <c r="C787" s="2" t="s">
        <v>1171</v>
      </c>
      <c r="D787" s="12">
        <v>33075.32</v>
      </c>
      <c r="E787" s="13">
        <v>0</v>
      </c>
      <c r="F787" s="19" t="str" cm="1">
        <f t="array" ref="F787">IFERROR(LOOKUP(2^15,SEARCH(CategoryMap[Keyword],BankTransactions[[#This Row],[Description]]),CategoryMap[Category]),"Other")</f>
        <v>Customer Receipts</v>
      </c>
      <c r="G787" s="6">
        <f>BankTransactions[[#This Row],[Credit (SAR)]]-BankTransactions[[#This Row],[Debit (SAR)]]</f>
        <v>33075.32</v>
      </c>
      <c r="H787" s="6">
        <f>Opening+SUM(INDEX(BankTransactions[Net (SAR)],1):BankTransactions[[#This Row],[Net (SAR)]])</f>
        <v>2975497.3900000006</v>
      </c>
    </row>
    <row r="788" spans="1:8" x14ac:dyDescent="0.2">
      <c r="A788" s="5" t="s">
        <v>1172</v>
      </c>
      <c r="B788" s="4">
        <v>46288</v>
      </c>
      <c r="C788" s="2" t="s">
        <v>1173</v>
      </c>
      <c r="D788" s="12">
        <v>7692.25</v>
      </c>
      <c r="E788" s="13">
        <v>0</v>
      </c>
      <c r="F788" s="19" t="str" cm="1">
        <f t="array" ref="F788">IFERROR(LOOKUP(2^15,SEARCH(CategoryMap[Keyword],BankTransactions[[#This Row],[Description]]),CategoryMap[Category]),"Other")</f>
        <v>Customer Receipts</v>
      </c>
      <c r="G788" s="6">
        <f>BankTransactions[[#This Row],[Credit (SAR)]]-BankTransactions[[#This Row],[Debit (SAR)]]</f>
        <v>7692.25</v>
      </c>
      <c r="H788" s="6">
        <f>Opening+SUM(INDEX(BankTransactions[Net (SAR)],1):BankTransactions[[#This Row],[Net (SAR)]])</f>
        <v>2983189.6400000006</v>
      </c>
    </row>
    <row r="789" spans="1:8" x14ac:dyDescent="0.2">
      <c r="A789" s="5" t="s">
        <v>1174</v>
      </c>
      <c r="B789" s="4">
        <v>46288</v>
      </c>
      <c r="C789" s="2" t="s">
        <v>12</v>
      </c>
      <c r="D789" s="12">
        <v>52385</v>
      </c>
      <c r="E789" s="13">
        <v>0</v>
      </c>
      <c r="F789" s="19" t="str" cm="1">
        <f t="array" ref="F789">IFERROR(LOOKUP(2^15,SEARCH(CategoryMap[Keyword],BankTransactions[[#This Row],[Description]]),CategoryMap[Category]),"Other")</f>
        <v>Cash Deposits</v>
      </c>
      <c r="G789" s="6">
        <f>BankTransactions[[#This Row],[Credit (SAR)]]-BankTransactions[[#This Row],[Debit (SAR)]]</f>
        <v>52385</v>
      </c>
      <c r="H789" s="6">
        <f>Opening+SUM(INDEX(BankTransactions[Net (SAR)],1):BankTransactions[[#This Row],[Net (SAR)]])</f>
        <v>3035574.6400000006</v>
      </c>
    </row>
    <row r="790" spans="1:8" x14ac:dyDescent="0.2">
      <c r="A790" s="5" t="s">
        <v>1175</v>
      </c>
      <c r="B790" s="4">
        <v>46289</v>
      </c>
      <c r="C790" s="2" t="s">
        <v>1176</v>
      </c>
      <c r="D790" s="12">
        <v>4704.13</v>
      </c>
      <c r="E790" s="13">
        <v>0</v>
      </c>
      <c r="F790" s="19" t="str" cm="1">
        <f t="array" ref="F790">IFERROR(LOOKUP(2^15,SEARCH(CategoryMap[Keyword],BankTransactions[[#This Row],[Description]]),CategoryMap[Category]),"Other")</f>
        <v>Customer Receipts</v>
      </c>
      <c r="G790" s="6">
        <f>BankTransactions[[#This Row],[Credit (SAR)]]-BankTransactions[[#This Row],[Debit (SAR)]]</f>
        <v>4704.13</v>
      </c>
      <c r="H790" s="6">
        <f>Opening+SUM(INDEX(BankTransactions[Net (SAR)],1):BankTransactions[[#This Row],[Net (SAR)]])</f>
        <v>3040278.7700000005</v>
      </c>
    </row>
    <row r="791" spans="1:8" x14ac:dyDescent="0.2">
      <c r="A791" s="5" t="s">
        <v>1177</v>
      </c>
      <c r="B791" s="4">
        <v>46289</v>
      </c>
      <c r="C791" s="2" t="s">
        <v>1178</v>
      </c>
      <c r="D791" s="12">
        <v>12909.31</v>
      </c>
      <c r="E791" s="13">
        <v>0</v>
      </c>
      <c r="F791" s="19" t="str" cm="1">
        <f t="array" ref="F791">IFERROR(LOOKUP(2^15,SEARCH(CategoryMap[Keyword],BankTransactions[[#This Row],[Description]]),CategoryMap[Category]),"Other")</f>
        <v>Customer Receipts</v>
      </c>
      <c r="G791" s="6">
        <f>BankTransactions[[#This Row],[Credit (SAR)]]-BankTransactions[[#This Row],[Debit (SAR)]]</f>
        <v>12909.31</v>
      </c>
      <c r="H791" s="6">
        <f>Opening+SUM(INDEX(BankTransactions[Net (SAR)],1):BankTransactions[[#This Row],[Net (SAR)]])</f>
        <v>3053188.0800000005</v>
      </c>
    </row>
    <row r="792" spans="1:8" x14ac:dyDescent="0.2">
      <c r="A792" s="5" t="s">
        <v>1179</v>
      </c>
      <c r="B792" s="4">
        <v>46289</v>
      </c>
      <c r="C792" s="2" t="s">
        <v>1180</v>
      </c>
      <c r="D792" s="12">
        <v>9932.57</v>
      </c>
      <c r="E792" s="13">
        <v>0</v>
      </c>
      <c r="F792" s="19" t="str" cm="1">
        <f t="array" ref="F792">IFERROR(LOOKUP(2^15,SEARCH(CategoryMap[Keyword],BankTransactions[[#This Row],[Description]]),CategoryMap[Category]),"Other")</f>
        <v>Customer Receipts</v>
      </c>
      <c r="G792" s="6">
        <f>BankTransactions[[#This Row],[Credit (SAR)]]-BankTransactions[[#This Row],[Debit (SAR)]]</f>
        <v>9932.57</v>
      </c>
      <c r="H792" s="6">
        <f>Opening+SUM(INDEX(BankTransactions[Net (SAR)],1):BankTransactions[[#This Row],[Net (SAR)]])</f>
        <v>3063120.6500000004</v>
      </c>
    </row>
    <row r="793" spans="1:8" x14ac:dyDescent="0.2">
      <c r="A793" s="5" t="s">
        <v>1181</v>
      </c>
      <c r="B793" s="4">
        <v>46289</v>
      </c>
      <c r="C793" s="2" t="s">
        <v>10</v>
      </c>
      <c r="D793" s="12">
        <v>0</v>
      </c>
      <c r="E793" s="13">
        <v>17324.61</v>
      </c>
      <c r="F793" s="19" t="str" cm="1">
        <f t="array" ref="F793">IFERROR(LOOKUP(2^15,SEARCH(CategoryMap[Keyword],BankTransactions[[#This Row],[Description]]),CategoryMap[Category]),"Other")</f>
        <v>Fuel &amp; Logistics</v>
      </c>
      <c r="G793" s="6">
        <f>BankTransactions[[#This Row],[Credit (SAR)]]-BankTransactions[[#This Row],[Debit (SAR)]]</f>
        <v>-17324.61</v>
      </c>
      <c r="H793" s="6">
        <f>Opening+SUM(INDEX(BankTransactions[Net (SAR)],1):BankTransactions[[#This Row],[Net (SAR)]])</f>
        <v>3045796.0400000005</v>
      </c>
    </row>
    <row r="794" spans="1:8" x14ac:dyDescent="0.2">
      <c r="A794" s="5" t="s">
        <v>1182</v>
      </c>
      <c r="B794" s="4">
        <v>46290</v>
      </c>
      <c r="C794" s="2" t="s">
        <v>1183</v>
      </c>
      <c r="D794" s="12">
        <v>3102.56</v>
      </c>
      <c r="E794" s="13">
        <v>0</v>
      </c>
      <c r="F794" s="19" t="str" cm="1">
        <f t="array" ref="F794">IFERROR(LOOKUP(2^15,SEARCH(CategoryMap[Keyword],BankTransactions[[#This Row],[Description]]),CategoryMap[Category]),"Other")</f>
        <v>Customer Receipts</v>
      </c>
      <c r="G794" s="6">
        <f>BankTransactions[[#This Row],[Credit (SAR)]]-BankTransactions[[#This Row],[Debit (SAR)]]</f>
        <v>3102.56</v>
      </c>
      <c r="H794" s="6">
        <f>Opening+SUM(INDEX(BankTransactions[Net (SAR)],1):BankTransactions[[#This Row],[Net (SAR)]])</f>
        <v>3048898.6000000006</v>
      </c>
    </row>
    <row r="795" spans="1:8" x14ac:dyDescent="0.2">
      <c r="A795" s="5" t="s">
        <v>1184</v>
      </c>
      <c r="B795" s="4">
        <v>46290</v>
      </c>
      <c r="C795" s="2" t="s">
        <v>112</v>
      </c>
      <c r="D795" s="12">
        <v>15060.4</v>
      </c>
      <c r="E795" s="13">
        <v>0</v>
      </c>
      <c r="F795" s="19" t="str" cm="1">
        <f t="array" ref="F795">IFERROR(LOOKUP(2^15,SEARCH(CategoryMap[Keyword],BankTransactions[[#This Row],[Description]]),CategoryMap[Category]),"Other")</f>
        <v>Customer Receipts</v>
      </c>
      <c r="G795" s="6">
        <f>BankTransactions[[#This Row],[Credit (SAR)]]-BankTransactions[[#This Row],[Debit (SAR)]]</f>
        <v>15060.4</v>
      </c>
      <c r="H795" s="6">
        <f>Opening+SUM(INDEX(BankTransactions[Net (SAR)],1):BankTransactions[[#This Row],[Net (SAR)]])</f>
        <v>3063959.0000000005</v>
      </c>
    </row>
    <row r="796" spans="1:8" x14ac:dyDescent="0.2">
      <c r="A796" s="5" t="s">
        <v>1185</v>
      </c>
      <c r="B796" s="4">
        <v>46290</v>
      </c>
      <c r="C796" s="2" t="s">
        <v>22</v>
      </c>
      <c r="D796" s="12">
        <v>0</v>
      </c>
      <c r="E796" s="13">
        <v>64000</v>
      </c>
      <c r="F796" s="19" t="str" cm="1">
        <f t="array" ref="F796">IFERROR(LOOKUP(2^15,SEARCH(CategoryMap[Keyword],BankTransactions[[#This Row],[Description]]),CategoryMap[Category]),"Other")</f>
        <v>Payroll</v>
      </c>
      <c r="G796" s="6">
        <f>BankTransactions[[#This Row],[Credit (SAR)]]-BankTransactions[[#This Row],[Debit (SAR)]]</f>
        <v>-64000</v>
      </c>
      <c r="H796" s="6">
        <f>Opening+SUM(INDEX(BankTransactions[Net (SAR)],1):BankTransactions[[#This Row],[Net (SAR)]])</f>
        <v>2999959.0000000005</v>
      </c>
    </row>
    <row r="797" spans="1:8" x14ac:dyDescent="0.2">
      <c r="A797" s="5" t="s">
        <v>1186</v>
      </c>
      <c r="B797" s="4">
        <v>46290</v>
      </c>
      <c r="C797" s="2" t="s">
        <v>24</v>
      </c>
      <c r="D797" s="12">
        <v>0</v>
      </c>
      <c r="E797" s="13">
        <v>21000</v>
      </c>
      <c r="F797" s="19" t="str" cm="1">
        <f t="array" ref="F797">IFERROR(LOOKUP(2^15,SEARCH(CategoryMap[Keyword],BankTransactions[[#This Row],[Description]]),CategoryMap[Category]),"Other")</f>
        <v>Loan Repayments</v>
      </c>
      <c r="G797" s="6">
        <f>BankTransactions[[#This Row],[Credit (SAR)]]-BankTransactions[[#This Row],[Debit (SAR)]]</f>
        <v>-21000</v>
      </c>
      <c r="H797" s="6">
        <f>Opening+SUM(INDEX(BankTransactions[Net (SAR)],1):BankTransactions[[#This Row],[Net (SAR)]])</f>
        <v>2978959.0000000005</v>
      </c>
    </row>
    <row r="798" spans="1:8" x14ac:dyDescent="0.2">
      <c r="A798" s="5" t="s">
        <v>1187</v>
      </c>
      <c r="B798" s="4">
        <v>46290</v>
      </c>
      <c r="C798" s="2" t="s">
        <v>7</v>
      </c>
      <c r="D798" s="12">
        <v>0</v>
      </c>
      <c r="E798" s="13">
        <v>0</v>
      </c>
      <c r="F798" s="19" t="str" cm="1">
        <f t="array" ref="F798">IFERROR(LOOKUP(2^15,SEARCH(CategoryMap[Keyword],BankTransactions[[#This Row],[Description]]),CategoryMap[Category]),"Other")</f>
        <v>Supplier Payments</v>
      </c>
      <c r="G798" s="6">
        <f>BankTransactions[[#This Row],[Credit (SAR)]]-BankTransactions[[#This Row],[Debit (SAR)]]</f>
        <v>0</v>
      </c>
      <c r="H798" s="6">
        <f>Opening+SUM(INDEX(BankTransactions[Net (SAR)],1):BankTransactions[[#This Row],[Net (SAR)]])</f>
        <v>2978959.0000000005</v>
      </c>
    </row>
    <row r="799" spans="1:8" x14ac:dyDescent="0.2">
      <c r="A799" s="5" t="s">
        <v>1188</v>
      </c>
      <c r="B799" s="4">
        <v>46290</v>
      </c>
      <c r="C799" s="2" t="s">
        <v>12</v>
      </c>
      <c r="D799" s="12">
        <v>12491.3</v>
      </c>
      <c r="E799" s="13">
        <v>0</v>
      </c>
      <c r="F799" s="19" t="str" cm="1">
        <f t="array" ref="F799">IFERROR(LOOKUP(2^15,SEARCH(CategoryMap[Keyword],BankTransactions[[#This Row],[Description]]),CategoryMap[Category]),"Other")</f>
        <v>Cash Deposits</v>
      </c>
      <c r="G799" s="6">
        <f>BankTransactions[[#This Row],[Credit (SAR)]]-BankTransactions[[#This Row],[Debit (SAR)]]</f>
        <v>12491.3</v>
      </c>
      <c r="H799" s="6">
        <f>Opening+SUM(INDEX(BankTransactions[Net (SAR)],1):BankTransactions[[#This Row],[Net (SAR)]])</f>
        <v>2991450.3000000003</v>
      </c>
    </row>
    <row r="800" spans="1:8" x14ac:dyDescent="0.2">
      <c r="A800" s="5" t="s">
        <v>1189</v>
      </c>
      <c r="B800" s="4">
        <v>46291</v>
      </c>
      <c r="C800" s="2" t="s">
        <v>140</v>
      </c>
      <c r="D800" s="12">
        <v>5146.3100000000004</v>
      </c>
      <c r="E800" s="13">
        <v>0</v>
      </c>
      <c r="F800" s="19" t="str" cm="1">
        <f t="array" ref="F800">IFERROR(LOOKUP(2^15,SEARCH(CategoryMap[Keyword],BankTransactions[[#This Row],[Description]]),CategoryMap[Category]),"Other")</f>
        <v>Customer Receipts</v>
      </c>
      <c r="G800" s="6">
        <f>BankTransactions[[#This Row],[Credit (SAR)]]-BankTransactions[[#This Row],[Debit (SAR)]]</f>
        <v>5146.3100000000004</v>
      </c>
      <c r="H800" s="6">
        <f>Opening+SUM(INDEX(BankTransactions[Net (SAR)],1):BankTransactions[[#This Row],[Net (SAR)]])</f>
        <v>2996596.6100000003</v>
      </c>
    </row>
    <row r="801" spans="1:8" x14ac:dyDescent="0.2">
      <c r="A801" s="5" t="s">
        <v>1190</v>
      </c>
      <c r="B801" s="4">
        <v>46291</v>
      </c>
      <c r="C801" s="2" t="s">
        <v>1191</v>
      </c>
      <c r="D801" s="12">
        <v>6070.5</v>
      </c>
      <c r="E801" s="13">
        <v>0</v>
      </c>
      <c r="F801" s="19" t="str" cm="1">
        <f t="array" ref="F801">IFERROR(LOOKUP(2^15,SEARCH(CategoryMap[Keyword],BankTransactions[[#This Row],[Description]]),CategoryMap[Category]),"Other")</f>
        <v>Customer Receipts</v>
      </c>
      <c r="G801" s="6">
        <f>BankTransactions[[#This Row],[Credit (SAR)]]-BankTransactions[[#This Row],[Debit (SAR)]]</f>
        <v>6070.5</v>
      </c>
      <c r="H801" s="6">
        <f>Opening+SUM(INDEX(BankTransactions[Net (SAR)],1):BankTransactions[[#This Row],[Net (SAR)]])</f>
        <v>3002667.1100000003</v>
      </c>
    </row>
    <row r="802" spans="1:8" x14ac:dyDescent="0.2">
      <c r="A802" s="5" t="s">
        <v>1192</v>
      </c>
      <c r="B802" s="4">
        <v>46291</v>
      </c>
      <c r="C802" s="2" t="s">
        <v>7</v>
      </c>
      <c r="D802" s="12">
        <v>0</v>
      </c>
      <c r="E802" s="13">
        <v>15575.24</v>
      </c>
      <c r="F802" s="19" t="str" cm="1">
        <f t="array" ref="F802">IFERROR(LOOKUP(2^15,SEARCH(CategoryMap[Keyword],BankTransactions[[#This Row],[Description]]),CategoryMap[Category]),"Other")</f>
        <v>Supplier Payments</v>
      </c>
      <c r="G802" s="6">
        <f>BankTransactions[[#This Row],[Credit (SAR)]]-BankTransactions[[#This Row],[Debit (SAR)]]</f>
        <v>-15575.24</v>
      </c>
      <c r="H802" s="6">
        <f>Opening+SUM(INDEX(BankTransactions[Net (SAR)],1):BankTransactions[[#This Row],[Net (SAR)]])</f>
        <v>2987091.8700000006</v>
      </c>
    </row>
    <row r="803" spans="1:8" x14ac:dyDescent="0.2">
      <c r="A803" s="5" t="s">
        <v>1193</v>
      </c>
      <c r="B803" s="4">
        <v>46292</v>
      </c>
      <c r="C803" s="2" t="s">
        <v>1194</v>
      </c>
      <c r="D803" s="12">
        <v>17751.93</v>
      </c>
      <c r="E803" s="13">
        <v>0</v>
      </c>
      <c r="F803" s="19" t="str" cm="1">
        <f t="array" ref="F803">IFERROR(LOOKUP(2^15,SEARCH(CategoryMap[Keyword],BankTransactions[[#This Row],[Description]]),CategoryMap[Category]),"Other")</f>
        <v>Customer Receipts</v>
      </c>
      <c r="G803" s="6">
        <f>BankTransactions[[#This Row],[Credit (SAR)]]-BankTransactions[[#This Row],[Debit (SAR)]]</f>
        <v>17751.93</v>
      </c>
      <c r="H803" s="6">
        <f>Opening+SUM(INDEX(BankTransactions[Net (SAR)],1):BankTransactions[[#This Row],[Net (SAR)]])</f>
        <v>3004843.8000000003</v>
      </c>
    </row>
    <row r="804" spans="1:8" x14ac:dyDescent="0.2">
      <c r="A804" s="5" t="s">
        <v>1195</v>
      </c>
      <c r="B804" s="4">
        <v>46292</v>
      </c>
      <c r="C804" s="2" t="s">
        <v>207</v>
      </c>
      <c r="D804" s="12">
        <v>12280.22</v>
      </c>
      <c r="E804" s="13">
        <v>0</v>
      </c>
      <c r="F804" s="19" t="str" cm="1">
        <f t="array" ref="F804">IFERROR(LOOKUP(2^15,SEARCH(CategoryMap[Keyword],BankTransactions[[#This Row],[Description]]),CategoryMap[Category]),"Other")</f>
        <v>Customer Receipts</v>
      </c>
      <c r="G804" s="6">
        <f>BankTransactions[[#This Row],[Credit (SAR)]]-BankTransactions[[#This Row],[Debit (SAR)]]</f>
        <v>12280.22</v>
      </c>
      <c r="H804" s="6">
        <f>Opening+SUM(INDEX(BankTransactions[Net (SAR)],1):BankTransactions[[#This Row],[Net (SAR)]])</f>
        <v>3017124.0200000005</v>
      </c>
    </row>
    <row r="805" spans="1:8" x14ac:dyDescent="0.2">
      <c r="A805" s="5" t="s">
        <v>1196</v>
      </c>
      <c r="B805" s="4">
        <v>46292</v>
      </c>
      <c r="C805" s="2" t="s">
        <v>1197</v>
      </c>
      <c r="D805" s="12">
        <v>10810.64</v>
      </c>
      <c r="E805" s="13">
        <v>0</v>
      </c>
      <c r="F805" s="19" t="str" cm="1">
        <f t="array" ref="F805">IFERROR(LOOKUP(2^15,SEARCH(CategoryMap[Keyword],BankTransactions[[#This Row],[Description]]),CategoryMap[Category]),"Other")</f>
        <v>Customer Receipts</v>
      </c>
      <c r="G805" s="6">
        <f>BankTransactions[[#This Row],[Credit (SAR)]]-BankTransactions[[#This Row],[Debit (SAR)]]</f>
        <v>10810.64</v>
      </c>
      <c r="H805" s="6">
        <f>Opening+SUM(INDEX(BankTransactions[Net (SAR)],1):BankTransactions[[#This Row],[Net (SAR)]])</f>
        <v>3027934.66</v>
      </c>
    </row>
    <row r="806" spans="1:8" x14ac:dyDescent="0.2">
      <c r="A806" s="5" t="s">
        <v>1198</v>
      </c>
      <c r="B806" s="4">
        <v>46293</v>
      </c>
      <c r="C806" s="2" t="s">
        <v>110</v>
      </c>
      <c r="D806" s="12">
        <v>4643.57</v>
      </c>
      <c r="E806" s="13">
        <v>0</v>
      </c>
      <c r="F806" s="19" t="str" cm="1">
        <f t="array" ref="F806">IFERROR(LOOKUP(2^15,SEARCH(CategoryMap[Keyword],BankTransactions[[#This Row],[Description]]),CategoryMap[Category]),"Other")</f>
        <v>Customer Receipts</v>
      </c>
      <c r="G806" s="6">
        <f>BankTransactions[[#This Row],[Credit (SAR)]]-BankTransactions[[#This Row],[Debit (SAR)]]</f>
        <v>4643.57</v>
      </c>
      <c r="H806" s="6">
        <f>Opening+SUM(INDEX(BankTransactions[Net (SAR)],1):BankTransactions[[#This Row],[Net (SAR)]])</f>
        <v>3032578.2300000004</v>
      </c>
    </row>
    <row r="807" spans="1:8" x14ac:dyDescent="0.2">
      <c r="A807" s="5" t="s">
        <v>1199</v>
      </c>
      <c r="B807" s="4">
        <v>46293</v>
      </c>
      <c r="C807" s="2" t="s">
        <v>1200</v>
      </c>
      <c r="D807" s="12">
        <v>4636.28</v>
      </c>
      <c r="E807" s="13">
        <v>0</v>
      </c>
      <c r="F807" s="19" t="str" cm="1">
        <f t="array" ref="F807">IFERROR(LOOKUP(2^15,SEARCH(CategoryMap[Keyword],BankTransactions[[#This Row],[Description]]),CategoryMap[Category]),"Other")</f>
        <v>Customer Receipts</v>
      </c>
      <c r="G807" s="6">
        <f>BankTransactions[[#This Row],[Credit (SAR)]]-BankTransactions[[#This Row],[Debit (SAR)]]</f>
        <v>4636.28</v>
      </c>
      <c r="H807" s="6">
        <f>Opening+SUM(INDEX(BankTransactions[Net (SAR)],1):BankTransactions[[#This Row],[Net (SAR)]])</f>
        <v>3037214.5100000002</v>
      </c>
    </row>
    <row r="808" spans="1:8" x14ac:dyDescent="0.2">
      <c r="A808" s="5" t="s">
        <v>1201</v>
      </c>
      <c r="B808" s="4">
        <v>46293</v>
      </c>
      <c r="C808" s="2" t="s">
        <v>3</v>
      </c>
      <c r="D808" s="12">
        <v>3719.37</v>
      </c>
      <c r="E808" s="13">
        <v>8692.6299999999992</v>
      </c>
      <c r="F808" s="19" t="str" cm="1">
        <f t="array" ref="F808">IFERROR(LOOKUP(2^15,SEARCH(CategoryMap[Keyword],BankTransactions[[#This Row],[Description]]),CategoryMap[Category]),"Other")</f>
        <v>Supplier Payments</v>
      </c>
      <c r="G808" s="6">
        <f>BankTransactions[[#This Row],[Credit (SAR)]]-BankTransactions[[#This Row],[Debit (SAR)]]</f>
        <v>-4973.2599999999993</v>
      </c>
      <c r="H808" s="6">
        <f>Opening+SUM(INDEX(BankTransactions[Net (SAR)],1):BankTransactions[[#This Row],[Net (SAR)]])</f>
        <v>3032241.2500000005</v>
      </c>
    </row>
    <row r="809" spans="1:8" x14ac:dyDescent="0.2">
      <c r="A809" s="5" t="s">
        <v>1202</v>
      </c>
      <c r="B809" s="4">
        <v>46294</v>
      </c>
      <c r="C809" s="2" t="s">
        <v>261</v>
      </c>
      <c r="D809" s="12">
        <v>8070.33</v>
      </c>
      <c r="E809" s="13">
        <v>0</v>
      </c>
      <c r="F809" s="19" t="str" cm="1">
        <f t="array" ref="F809">IFERROR(LOOKUP(2^15,SEARCH(CategoryMap[Keyword],BankTransactions[[#This Row],[Description]]),CategoryMap[Category]),"Other")</f>
        <v>Customer Receipts</v>
      </c>
      <c r="G809" s="6">
        <f>BankTransactions[[#This Row],[Credit (SAR)]]-BankTransactions[[#This Row],[Debit (SAR)]]</f>
        <v>8070.33</v>
      </c>
      <c r="H809" s="6">
        <f>Opening+SUM(INDEX(BankTransactions[Net (SAR)],1):BankTransactions[[#This Row],[Net (SAR)]])</f>
        <v>3040311.58</v>
      </c>
    </row>
    <row r="810" spans="1:8" x14ac:dyDescent="0.2">
      <c r="A810" s="5" t="s">
        <v>1203</v>
      </c>
      <c r="B810" s="4">
        <v>46296</v>
      </c>
      <c r="C810" s="2" t="s">
        <v>1204</v>
      </c>
      <c r="D810" s="12">
        <v>7205.37</v>
      </c>
      <c r="E810" s="13">
        <v>0</v>
      </c>
      <c r="F810" s="19" t="str" cm="1">
        <f t="array" ref="F810">IFERROR(LOOKUP(2^15,SEARCH(CategoryMap[Keyword],BankTransactions[[#This Row],[Description]]),CategoryMap[Category]),"Other")</f>
        <v>Customer Receipts</v>
      </c>
      <c r="G810" s="6">
        <f>BankTransactions[[#This Row],[Credit (SAR)]]-BankTransactions[[#This Row],[Debit (SAR)]]</f>
        <v>7205.37</v>
      </c>
      <c r="H810" s="6">
        <f>Opening+SUM(INDEX(BankTransactions[Net (SAR)],1):BankTransactions[[#This Row],[Net (SAR)]])</f>
        <v>3047516.95</v>
      </c>
    </row>
    <row r="811" spans="1:8" x14ac:dyDescent="0.2">
      <c r="A811" s="5" t="s">
        <v>1205</v>
      </c>
      <c r="B811" s="4">
        <v>46296</v>
      </c>
      <c r="C811" s="2" t="s">
        <v>1206</v>
      </c>
      <c r="D811" s="12">
        <v>3540.38</v>
      </c>
      <c r="E811" s="13">
        <v>0</v>
      </c>
      <c r="F811" s="19" t="str" cm="1">
        <f t="array" ref="F811">IFERROR(LOOKUP(2^15,SEARCH(CategoryMap[Keyword],BankTransactions[[#This Row],[Description]]),CategoryMap[Category]),"Other")</f>
        <v>Customer Receipts</v>
      </c>
      <c r="G811" s="6">
        <f>BankTransactions[[#This Row],[Credit (SAR)]]-BankTransactions[[#This Row],[Debit (SAR)]]</f>
        <v>3540.38</v>
      </c>
      <c r="H811" s="6">
        <f>Opening+SUM(INDEX(BankTransactions[Net (SAR)],1):BankTransactions[[#This Row],[Net (SAR)]])</f>
        <v>3051057.33</v>
      </c>
    </row>
    <row r="812" spans="1:8" x14ac:dyDescent="0.2">
      <c r="A812" s="5" t="s">
        <v>1207</v>
      </c>
      <c r="B812" s="4">
        <v>46296</v>
      </c>
      <c r="C812" s="2" t="s">
        <v>190</v>
      </c>
      <c r="D812" s="12">
        <v>2417.88</v>
      </c>
      <c r="E812" s="13">
        <v>0</v>
      </c>
      <c r="F812" s="19" t="str" cm="1">
        <f t="array" ref="F812">IFERROR(LOOKUP(2^15,SEARCH(CategoryMap[Keyword],BankTransactions[[#This Row],[Description]]),CategoryMap[Category]),"Other")</f>
        <v>Customer Receipts</v>
      </c>
      <c r="G812" s="6">
        <f>BankTransactions[[#This Row],[Credit (SAR)]]-BankTransactions[[#This Row],[Debit (SAR)]]</f>
        <v>2417.88</v>
      </c>
      <c r="H812" s="6">
        <f>Opening+SUM(INDEX(BankTransactions[Net (SAR)],1):BankTransactions[[#This Row],[Net (SAR)]])</f>
        <v>3053475.2100000004</v>
      </c>
    </row>
    <row r="813" spans="1:8" x14ac:dyDescent="0.2">
      <c r="A813" s="5" t="s">
        <v>1208</v>
      </c>
      <c r="B813" s="4">
        <v>46297</v>
      </c>
      <c r="C813" s="2" t="s">
        <v>1209</v>
      </c>
      <c r="D813" s="12">
        <v>8551.81</v>
      </c>
      <c r="E813" s="13">
        <v>0</v>
      </c>
      <c r="F813" s="19" t="str" cm="1">
        <f t="array" ref="F813">IFERROR(LOOKUP(2^15,SEARCH(CategoryMap[Keyword],BankTransactions[[#This Row],[Description]]),CategoryMap[Category]),"Other")</f>
        <v>Customer Receipts</v>
      </c>
      <c r="G813" s="6">
        <f>BankTransactions[[#This Row],[Credit (SAR)]]-BankTransactions[[#This Row],[Debit (SAR)]]</f>
        <v>8551.81</v>
      </c>
      <c r="H813" s="6">
        <f>Opening+SUM(INDEX(BankTransactions[Net (SAR)],1):BankTransactions[[#This Row],[Net (SAR)]])</f>
        <v>3062027.0200000005</v>
      </c>
    </row>
    <row r="814" spans="1:8" x14ac:dyDescent="0.2">
      <c r="A814" s="5" t="s">
        <v>1210</v>
      </c>
      <c r="B814" s="4">
        <v>46297</v>
      </c>
      <c r="C814" s="2" t="s">
        <v>1211</v>
      </c>
      <c r="D814" s="12">
        <v>12134.05</v>
      </c>
      <c r="E814" s="13">
        <v>0</v>
      </c>
      <c r="F814" s="19" t="str" cm="1">
        <f t="array" ref="F814">IFERROR(LOOKUP(2^15,SEARCH(CategoryMap[Keyword],BankTransactions[[#This Row],[Description]]),CategoryMap[Category]),"Other")</f>
        <v>Customer Receipts</v>
      </c>
      <c r="G814" s="6">
        <f>BankTransactions[[#This Row],[Credit (SAR)]]-BankTransactions[[#This Row],[Debit (SAR)]]</f>
        <v>12134.05</v>
      </c>
      <c r="H814" s="6">
        <f>Opening+SUM(INDEX(BankTransactions[Net (SAR)],1):BankTransactions[[#This Row],[Net (SAR)]])</f>
        <v>3074161.0700000003</v>
      </c>
    </row>
    <row r="815" spans="1:8" x14ac:dyDescent="0.2">
      <c r="A815" s="5" t="s">
        <v>1212</v>
      </c>
      <c r="B815" s="4">
        <v>46297</v>
      </c>
      <c r="C815" s="2" t="s">
        <v>1213</v>
      </c>
      <c r="D815" s="12">
        <v>14086.79</v>
      </c>
      <c r="E815" s="13">
        <v>0</v>
      </c>
      <c r="F815" s="19" t="str" cm="1">
        <f t="array" ref="F815">IFERROR(LOOKUP(2^15,SEARCH(CategoryMap[Keyword],BankTransactions[[#This Row],[Description]]),CategoryMap[Category]),"Other")</f>
        <v>Customer Receipts</v>
      </c>
      <c r="G815" s="6">
        <f>BankTransactions[[#This Row],[Credit (SAR)]]-BankTransactions[[#This Row],[Debit (SAR)]]</f>
        <v>14086.79</v>
      </c>
      <c r="H815" s="6">
        <f>Opening+SUM(INDEX(BankTransactions[Net (SAR)],1):BankTransactions[[#This Row],[Net (SAR)]])</f>
        <v>3088247.8600000003</v>
      </c>
    </row>
    <row r="816" spans="1:8" x14ac:dyDescent="0.2">
      <c r="A816" s="5" t="s">
        <v>1214</v>
      </c>
      <c r="B816" s="4">
        <v>46298</v>
      </c>
      <c r="C816" s="2" t="s">
        <v>1215</v>
      </c>
      <c r="D816" s="12">
        <v>6653.12</v>
      </c>
      <c r="E816" s="13">
        <v>0</v>
      </c>
      <c r="F816" s="19" t="str" cm="1">
        <f t="array" ref="F816">IFERROR(LOOKUP(2^15,SEARCH(CategoryMap[Keyword],BankTransactions[[#This Row],[Description]]),CategoryMap[Category]),"Other")</f>
        <v>Customer Receipts</v>
      </c>
      <c r="G816" s="6">
        <f>BankTransactions[[#This Row],[Credit (SAR)]]-BankTransactions[[#This Row],[Debit (SAR)]]</f>
        <v>6653.12</v>
      </c>
      <c r="H816" s="6">
        <f>Opening+SUM(INDEX(BankTransactions[Net (SAR)],1):BankTransactions[[#This Row],[Net (SAR)]])</f>
        <v>3094900.9800000004</v>
      </c>
    </row>
    <row r="817" spans="1:8" x14ac:dyDescent="0.2">
      <c r="A817" s="5" t="s">
        <v>1216</v>
      </c>
      <c r="B817" s="4">
        <v>46299</v>
      </c>
      <c r="C817" s="2" t="s">
        <v>1217</v>
      </c>
      <c r="D817" s="12">
        <v>14670.07</v>
      </c>
      <c r="E817" s="13">
        <v>0</v>
      </c>
      <c r="F817" s="19" t="str" cm="1">
        <f t="array" ref="F817">IFERROR(LOOKUP(2^15,SEARCH(CategoryMap[Keyword],BankTransactions[[#This Row],[Description]]),CategoryMap[Category]),"Other")</f>
        <v>Customer Receipts</v>
      </c>
      <c r="G817" s="6">
        <f>BankTransactions[[#This Row],[Credit (SAR)]]-BankTransactions[[#This Row],[Debit (SAR)]]</f>
        <v>14670.07</v>
      </c>
      <c r="H817" s="6">
        <f>Opening+SUM(INDEX(BankTransactions[Net (SAR)],1):BankTransactions[[#This Row],[Net (SAR)]])</f>
        <v>3109571.0500000003</v>
      </c>
    </row>
    <row r="818" spans="1:8" x14ac:dyDescent="0.2">
      <c r="A818" s="5" t="s">
        <v>1218</v>
      </c>
      <c r="B818" s="4">
        <v>46301</v>
      </c>
      <c r="C818" s="2" t="s">
        <v>112</v>
      </c>
      <c r="D818" s="12">
        <v>10393.64</v>
      </c>
      <c r="E818" s="13">
        <v>0</v>
      </c>
      <c r="F818" s="19" t="str" cm="1">
        <f t="array" ref="F818">IFERROR(LOOKUP(2^15,SEARCH(CategoryMap[Keyword],BankTransactions[[#This Row],[Description]]),CategoryMap[Category]),"Other")</f>
        <v>Customer Receipts</v>
      </c>
      <c r="G818" s="6">
        <f>BankTransactions[[#This Row],[Credit (SAR)]]-BankTransactions[[#This Row],[Debit (SAR)]]</f>
        <v>10393.64</v>
      </c>
      <c r="H818" s="6">
        <f>Opening+SUM(INDEX(BankTransactions[Net (SAR)],1):BankTransactions[[#This Row],[Net (SAR)]])</f>
        <v>3119964.6900000004</v>
      </c>
    </row>
    <row r="819" spans="1:8" x14ac:dyDescent="0.2">
      <c r="A819" s="5" t="s">
        <v>1219</v>
      </c>
      <c r="B819" s="4">
        <v>46302</v>
      </c>
      <c r="C819" s="2" t="s">
        <v>1220</v>
      </c>
      <c r="D819" s="12">
        <v>16374.28</v>
      </c>
      <c r="E819" s="13">
        <v>0</v>
      </c>
      <c r="F819" s="19" t="str" cm="1">
        <f t="array" ref="F819">IFERROR(LOOKUP(2^15,SEARCH(CategoryMap[Keyword],BankTransactions[[#This Row],[Description]]),CategoryMap[Category]),"Other")</f>
        <v>Customer Receipts</v>
      </c>
      <c r="G819" s="6">
        <f>BankTransactions[[#This Row],[Credit (SAR)]]-BankTransactions[[#This Row],[Debit (SAR)]]</f>
        <v>16374.28</v>
      </c>
      <c r="H819" s="6">
        <f>Opening+SUM(INDEX(BankTransactions[Net (SAR)],1):BankTransactions[[#This Row],[Net (SAR)]])</f>
        <v>3136338.9700000007</v>
      </c>
    </row>
    <row r="820" spans="1:8" x14ac:dyDescent="0.2">
      <c r="A820" s="5" t="s">
        <v>1221</v>
      </c>
      <c r="B820" s="4">
        <v>46302</v>
      </c>
      <c r="C820" s="2" t="s">
        <v>1222</v>
      </c>
      <c r="D820" s="12">
        <v>1489.53</v>
      </c>
      <c r="E820" s="13">
        <v>0</v>
      </c>
      <c r="F820" s="19" t="str" cm="1">
        <f t="array" ref="F820">IFERROR(LOOKUP(2^15,SEARCH(CategoryMap[Keyword],BankTransactions[[#This Row],[Description]]),CategoryMap[Category]),"Other")</f>
        <v>Customer Receipts</v>
      </c>
      <c r="G820" s="6">
        <f>BankTransactions[[#This Row],[Credit (SAR)]]-BankTransactions[[#This Row],[Debit (SAR)]]</f>
        <v>1489.53</v>
      </c>
      <c r="H820" s="6">
        <f>Opening+SUM(INDEX(BankTransactions[Net (SAR)],1):BankTransactions[[#This Row],[Net (SAR)]])</f>
        <v>3137828.5000000005</v>
      </c>
    </row>
    <row r="821" spans="1:8" x14ac:dyDescent="0.2">
      <c r="A821" s="5" t="s">
        <v>1223</v>
      </c>
      <c r="B821" s="4">
        <v>46302</v>
      </c>
      <c r="C821" s="2" t="s">
        <v>112</v>
      </c>
      <c r="D821" s="12">
        <v>6835.28</v>
      </c>
      <c r="E821" s="13">
        <v>0</v>
      </c>
      <c r="F821" s="19" t="str" cm="1">
        <f t="array" ref="F821">IFERROR(LOOKUP(2^15,SEARCH(CategoryMap[Keyword],BankTransactions[[#This Row],[Description]]),CategoryMap[Category]),"Other")</f>
        <v>Customer Receipts</v>
      </c>
      <c r="G821" s="6">
        <f>BankTransactions[[#This Row],[Credit (SAR)]]-BankTransactions[[#This Row],[Debit (SAR)]]</f>
        <v>6835.28</v>
      </c>
      <c r="H821" s="6">
        <f>Opening+SUM(INDEX(BankTransactions[Net (SAR)],1):BankTransactions[[#This Row],[Net (SAR)]])</f>
        <v>3144663.7800000003</v>
      </c>
    </row>
    <row r="822" spans="1:8" x14ac:dyDescent="0.2">
      <c r="A822" s="5" t="s">
        <v>1224</v>
      </c>
      <c r="B822" s="4">
        <v>46303</v>
      </c>
      <c r="C822" s="2" t="s">
        <v>1225</v>
      </c>
      <c r="D822" s="12">
        <v>20931.419999999998</v>
      </c>
      <c r="E822" s="13">
        <v>0</v>
      </c>
      <c r="F822" s="19" t="str" cm="1">
        <f t="array" ref="F822">IFERROR(LOOKUP(2^15,SEARCH(CategoryMap[Keyword],BankTransactions[[#This Row],[Description]]),CategoryMap[Category]),"Other")</f>
        <v>Customer Receipts</v>
      </c>
      <c r="G822" s="6">
        <f>BankTransactions[[#This Row],[Credit (SAR)]]-BankTransactions[[#This Row],[Debit (SAR)]]</f>
        <v>20931.419999999998</v>
      </c>
      <c r="H822" s="6">
        <f>Opening+SUM(INDEX(BankTransactions[Net (SAR)],1):BankTransactions[[#This Row],[Net (SAR)]])</f>
        <v>3165595.2000000007</v>
      </c>
    </row>
    <row r="823" spans="1:8" x14ac:dyDescent="0.2">
      <c r="A823" s="5" t="s">
        <v>1226</v>
      </c>
      <c r="B823" s="4">
        <v>46303</v>
      </c>
      <c r="C823" s="2" t="s">
        <v>1227</v>
      </c>
      <c r="D823" s="12">
        <v>10380.58</v>
      </c>
      <c r="E823" s="13">
        <v>0</v>
      </c>
      <c r="F823" s="19" t="str" cm="1">
        <f t="array" ref="F823">IFERROR(LOOKUP(2^15,SEARCH(CategoryMap[Keyword],BankTransactions[[#This Row],[Description]]),CategoryMap[Category]),"Other")</f>
        <v>Customer Receipts</v>
      </c>
      <c r="G823" s="6">
        <f>BankTransactions[[#This Row],[Credit (SAR)]]-BankTransactions[[#This Row],[Debit (SAR)]]</f>
        <v>10380.58</v>
      </c>
      <c r="H823" s="6">
        <f>Opening+SUM(INDEX(BankTransactions[Net (SAR)],1):BankTransactions[[#This Row],[Net (SAR)]])</f>
        <v>3175975.7800000003</v>
      </c>
    </row>
    <row r="824" spans="1:8" x14ac:dyDescent="0.2">
      <c r="A824" s="5" t="s">
        <v>1228</v>
      </c>
      <c r="B824" s="4">
        <v>46304</v>
      </c>
      <c r="C824" s="2" t="s">
        <v>1229</v>
      </c>
      <c r="D824" s="12">
        <v>8266</v>
      </c>
      <c r="E824" s="13">
        <v>0</v>
      </c>
      <c r="F824" s="19" t="str" cm="1">
        <f t="array" ref="F824">IFERROR(LOOKUP(2^15,SEARCH(CategoryMap[Keyword],BankTransactions[[#This Row],[Description]]),CategoryMap[Category]),"Other")</f>
        <v>Customer Receipts</v>
      </c>
      <c r="G824" s="6">
        <f>BankTransactions[[#This Row],[Credit (SAR)]]-BankTransactions[[#This Row],[Debit (SAR)]]</f>
        <v>8266</v>
      </c>
      <c r="H824" s="6">
        <f>Opening+SUM(INDEX(BankTransactions[Net (SAR)],1):BankTransactions[[#This Row],[Net (SAR)]])</f>
        <v>3184241.7800000003</v>
      </c>
    </row>
    <row r="825" spans="1:8" x14ac:dyDescent="0.2">
      <c r="A825" s="5" t="s">
        <v>1230</v>
      </c>
      <c r="B825" s="4">
        <v>46304</v>
      </c>
      <c r="C825" s="2" t="s">
        <v>1231</v>
      </c>
      <c r="D825" s="12">
        <v>6646.62</v>
      </c>
      <c r="E825" s="13">
        <v>0</v>
      </c>
      <c r="F825" s="19" t="str" cm="1">
        <f t="array" ref="F825">IFERROR(LOOKUP(2^15,SEARCH(CategoryMap[Keyword],BankTransactions[[#This Row],[Description]]),CategoryMap[Category]),"Other")</f>
        <v>Customer Receipts</v>
      </c>
      <c r="G825" s="6">
        <f>BankTransactions[[#This Row],[Credit (SAR)]]-BankTransactions[[#This Row],[Debit (SAR)]]</f>
        <v>6646.62</v>
      </c>
      <c r="H825" s="6">
        <f>Opening+SUM(INDEX(BankTransactions[Net (SAR)],1):BankTransactions[[#This Row],[Net (SAR)]])</f>
        <v>3190888.4000000004</v>
      </c>
    </row>
    <row r="826" spans="1:8" x14ac:dyDescent="0.2">
      <c r="A826" s="5" t="s">
        <v>1232</v>
      </c>
      <c r="B826" s="4">
        <v>46306</v>
      </c>
      <c r="C826" s="2" t="s">
        <v>207</v>
      </c>
      <c r="D826" s="12">
        <v>18090</v>
      </c>
      <c r="E826" s="13">
        <v>0</v>
      </c>
      <c r="F826" s="19" t="str" cm="1">
        <f t="array" ref="F826">IFERROR(LOOKUP(2^15,SEARCH(CategoryMap[Keyword],BankTransactions[[#This Row],[Description]]),CategoryMap[Category]),"Other")</f>
        <v>Customer Receipts</v>
      </c>
      <c r="G826" s="6">
        <f>BankTransactions[[#This Row],[Credit (SAR)]]-BankTransactions[[#This Row],[Debit (SAR)]]</f>
        <v>18090</v>
      </c>
      <c r="H826" s="6">
        <f>Opening+SUM(INDEX(BankTransactions[Net (SAR)],1):BankTransactions[[#This Row],[Net (SAR)]])</f>
        <v>3208978.4000000004</v>
      </c>
    </row>
    <row r="827" spans="1:8" x14ac:dyDescent="0.2">
      <c r="A827" s="5" t="s">
        <v>1233</v>
      </c>
      <c r="B827" s="4">
        <v>46307</v>
      </c>
      <c r="C827" s="2" t="s">
        <v>1234</v>
      </c>
      <c r="D827" s="12">
        <v>9389.0300000000007</v>
      </c>
      <c r="E827" s="13">
        <v>0</v>
      </c>
      <c r="F827" s="19" t="str" cm="1">
        <f t="array" ref="F827">IFERROR(LOOKUP(2^15,SEARCH(CategoryMap[Keyword],BankTransactions[[#This Row],[Description]]),CategoryMap[Category]),"Other")</f>
        <v>Customer Receipts</v>
      </c>
      <c r="G827" s="6">
        <f>BankTransactions[[#This Row],[Credit (SAR)]]-BankTransactions[[#This Row],[Debit (SAR)]]</f>
        <v>9389.0300000000007</v>
      </c>
      <c r="H827" s="6">
        <f>Opening+SUM(INDEX(BankTransactions[Net (SAR)],1):BankTransactions[[#This Row],[Net (SAR)]])</f>
        <v>3218367.4300000006</v>
      </c>
    </row>
    <row r="828" spans="1:8" x14ac:dyDescent="0.2">
      <c r="A828" s="5" t="s">
        <v>1235</v>
      </c>
      <c r="B828" s="4">
        <v>46309</v>
      </c>
      <c r="C828" s="2" t="s">
        <v>1236</v>
      </c>
      <c r="D828" s="12">
        <v>12977.17</v>
      </c>
      <c r="E828" s="13">
        <v>0</v>
      </c>
      <c r="F828" s="19" t="str" cm="1">
        <f t="array" ref="F828">IFERROR(LOOKUP(2^15,SEARCH(CategoryMap[Keyword],BankTransactions[[#This Row],[Description]]),CategoryMap[Category]),"Other")</f>
        <v>Customer Receipts</v>
      </c>
      <c r="G828" s="6">
        <f>BankTransactions[[#This Row],[Credit (SAR)]]-BankTransactions[[#This Row],[Debit (SAR)]]</f>
        <v>12977.17</v>
      </c>
      <c r="H828" s="6">
        <f>Opening+SUM(INDEX(BankTransactions[Net (SAR)],1):BankTransactions[[#This Row],[Net (SAR)]])</f>
        <v>3231344.6000000006</v>
      </c>
    </row>
  </sheetData>
  <conditionalFormatting sqref="G5">
    <cfRule type="cellIs" dxfId="1" priority="2" operator="lessThan">
      <formula>0</formula>
    </cfRule>
  </conditionalFormatting>
  <conditionalFormatting sqref="G8:H828">
    <cfRule type="cellIs" dxfId="0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A8B5B-AB7A-4BDC-9AB1-00C10939E8D0}">
  <dimension ref="A1:B8"/>
  <sheetViews>
    <sheetView showGridLines="0" workbookViewId="0">
      <selection activeCell="F4" sqref="F4"/>
    </sheetView>
  </sheetViews>
  <sheetFormatPr defaultRowHeight="14.25" x14ac:dyDescent="0.2"/>
  <cols>
    <col min="1" max="1" width="25" style="1" customWidth="1"/>
    <col min="2" max="2" width="21.625" style="1" customWidth="1"/>
  </cols>
  <sheetData>
    <row r="1" spans="1:2" x14ac:dyDescent="0.2">
      <c r="A1" s="1" t="s">
        <v>1237</v>
      </c>
      <c r="B1" s="1" t="s">
        <v>1238</v>
      </c>
    </row>
    <row r="2" spans="1:2" x14ac:dyDescent="0.2">
      <c r="A2" s="8" t="s">
        <v>1239</v>
      </c>
      <c r="B2" s="8" t="s">
        <v>1240</v>
      </c>
    </row>
    <row r="3" spans="1:2" x14ac:dyDescent="0.2">
      <c r="A3" s="8" t="s">
        <v>12</v>
      </c>
      <c r="B3" s="8" t="s">
        <v>1241</v>
      </c>
    </row>
    <row r="4" spans="1:2" x14ac:dyDescent="0.2">
      <c r="A4" s="8" t="s">
        <v>1242</v>
      </c>
      <c r="B4" s="8" t="s">
        <v>1243</v>
      </c>
    </row>
    <row r="5" spans="1:2" x14ac:dyDescent="0.2">
      <c r="A5" s="8" t="s">
        <v>10</v>
      </c>
      <c r="B5" s="8" t="s">
        <v>1244</v>
      </c>
    </row>
    <row r="6" spans="1:2" x14ac:dyDescent="0.2">
      <c r="A6" s="8" t="s">
        <v>22</v>
      </c>
      <c r="B6" s="8" t="s">
        <v>1245</v>
      </c>
    </row>
    <row r="7" spans="1:2" x14ac:dyDescent="0.2">
      <c r="A7" s="8" t="s">
        <v>1</v>
      </c>
      <c r="B7" s="8" t="s">
        <v>1246</v>
      </c>
    </row>
    <row r="8" spans="1:2" x14ac:dyDescent="0.2">
      <c r="A8" s="8" t="s">
        <v>1247</v>
      </c>
      <c r="B8" s="8" t="s">
        <v>1248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Transactions</vt:lpstr>
      <vt:lpstr>Category Map</vt:lpstr>
      <vt:lpstr>Opening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ahmed.aljahdali</cp:lastModifiedBy>
  <dcterms:created xsi:type="dcterms:W3CDTF">2026-10-19T03:00:38Z</dcterms:created>
  <dcterms:modified xsi:type="dcterms:W3CDTF">2026-10-19T03:27:30Z</dcterms:modified>
</cp:coreProperties>
</file>